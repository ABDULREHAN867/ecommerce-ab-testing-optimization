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data analytics course TheiScale\Gemini\AI_Powered_AB_Testing\"/>
    </mc:Choice>
  </mc:AlternateContent>
  <xr:revisionPtr revIDLastSave="0" documentId="8_{BD0A23A2-8056-49B2-AD38-2FE21EC0CB55}" xr6:coauthVersionLast="47" xr6:coauthVersionMax="47" xr10:uidLastSave="{00000000-0000-0000-0000-000000000000}"/>
  <bookViews>
    <workbookView xWindow="-108" yWindow="-108" windowWidth="23256" windowHeight="12456" activeTab="1" xr2:uid="{2D9B9AB1-DCBC-43D7-9A7B-38A74D37EEBA}"/>
  </bookViews>
  <sheets>
    <sheet name="AB_Summary" sheetId="2" r:id="rId1"/>
    <sheet name="Executive_Dashboard" sheetId="3" r:id="rId2"/>
    <sheet name="amazon_ab_test_2500" sheetId="1" r:id="rId3"/>
  </sheets>
  <definedNames>
    <definedName name="_xlnm._FilterDatabase" localSheetId="2" hidden="1">amazon_ab_test_2500!$A$1:$I$2490</definedName>
    <definedName name="Slicer_clean_devic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K6" i="3" l="1"/>
  <c r="H6" i="3"/>
  <c r="E6" i="3"/>
  <c r="B6" i="3"/>
  <c r="L9" i="2"/>
  <c r="L8" i="2"/>
  <c r="L7" i="2"/>
  <c r="L6" i="2"/>
  <c r="L5" i="2"/>
  <c r="I4" i="2"/>
  <c r="I5" i="2" s="1"/>
  <c r="I6" i="2" s="1"/>
  <c r="I7" i="2" s="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 i="1"/>
</calcChain>
</file>

<file path=xl/sharedStrings.xml><?xml version="1.0" encoding="utf-8"?>
<sst xmlns="http://schemas.openxmlformats.org/spreadsheetml/2006/main" count="10014" uniqueCount="2549">
  <si>
    <t>user_id</t>
  </si>
  <si>
    <t>test_group</t>
  </si>
  <si>
    <t>customer_segment</t>
  </si>
  <si>
    <t>device</t>
  </si>
  <si>
    <t>pages_viewed</t>
  </si>
  <si>
    <t>converted</t>
  </si>
  <si>
    <t>order_value_inr</t>
  </si>
  <si>
    <t>USR_00001</t>
  </si>
  <si>
    <t>A</t>
  </si>
  <si>
    <t>VIP</t>
  </si>
  <si>
    <t>Mobile</t>
  </si>
  <si>
    <t>USR_00002</t>
  </si>
  <si>
    <t>control</t>
  </si>
  <si>
    <t>Returning</t>
  </si>
  <si>
    <t>USR_00003</t>
  </si>
  <si>
    <t>B</t>
  </si>
  <si>
    <t>mobile</t>
  </si>
  <si>
    <t>USR_00004</t>
  </si>
  <si>
    <t>Unknown</t>
  </si>
  <si>
    <t>USR_00005</t>
  </si>
  <si>
    <t>New</t>
  </si>
  <si>
    <t>USR_00006</t>
  </si>
  <si>
    <t>USR_00007</t>
  </si>
  <si>
    <t>Desktop</t>
  </si>
  <si>
    <t>USR_00008</t>
  </si>
  <si>
    <t>USR_00009</t>
  </si>
  <si>
    <t>USR_00010</t>
  </si>
  <si>
    <t>USR_00011</t>
  </si>
  <si>
    <t>USR_00012</t>
  </si>
  <si>
    <t>variant_b</t>
  </si>
  <si>
    <t>USR_00013</t>
  </si>
  <si>
    <t>USR_00014</t>
  </si>
  <si>
    <t>USR_00015</t>
  </si>
  <si>
    <t>DESKTOP</t>
  </si>
  <si>
    <t>USR_00027</t>
  </si>
  <si>
    <t>USR_00028</t>
  </si>
  <si>
    <t>USR_00029</t>
  </si>
  <si>
    <t>USR_00030</t>
  </si>
  <si>
    <t>USR_00031</t>
  </si>
  <si>
    <t>USR_00032</t>
  </si>
  <si>
    <t>USR_00033</t>
  </si>
  <si>
    <t>USR_00034</t>
  </si>
  <si>
    <t>USR_00035</t>
  </si>
  <si>
    <t>USR_00036</t>
  </si>
  <si>
    <t>USR_00037</t>
  </si>
  <si>
    <t>USR_00038</t>
  </si>
  <si>
    <t>USR_00039</t>
  </si>
  <si>
    <t>USR_00040</t>
  </si>
  <si>
    <t>USR_00041</t>
  </si>
  <si>
    <t>USR_00042</t>
  </si>
  <si>
    <t>USR_00043</t>
  </si>
  <si>
    <t>USR_00044</t>
  </si>
  <si>
    <t>USR_00045</t>
  </si>
  <si>
    <t>USR_00046</t>
  </si>
  <si>
    <t>USR_00047</t>
  </si>
  <si>
    <t>USR_00048</t>
  </si>
  <si>
    <t>USR_00049</t>
  </si>
  <si>
    <t>USR_00050</t>
  </si>
  <si>
    <t>USR_00051</t>
  </si>
  <si>
    <t>USR_00052</t>
  </si>
  <si>
    <t>USR_00053</t>
  </si>
  <si>
    <t>USR_00054</t>
  </si>
  <si>
    <t>USR_00055</t>
  </si>
  <si>
    <t>USR_00056</t>
  </si>
  <si>
    <t>USR_00057</t>
  </si>
  <si>
    <t>USR_00058</t>
  </si>
  <si>
    <t>USR_00059</t>
  </si>
  <si>
    <t>USR_00060</t>
  </si>
  <si>
    <t>USR_00061</t>
  </si>
  <si>
    <t>USR_00062</t>
  </si>
  <si>
    <t>USR_00063</t>
  </si>
  <si>
    <t>USR_00064</t>
  </si>
  <si>
    <t>USR_00065</t>
  </si>
  <si>
    <t>USR_00066</t>
  </si>
  <si>
    <t>USR_00067</t>
  </si>
  <si>
    <t>USR_00068</t>
  </si>
  <si>
    <t>USR_00069</t>
  </si>
  <si>
    <t>USR_00070</t>
  </si>
  <si>
    <t>USR_00071</t>
  </si>
  <si>
    <t>USR_00072</t>
  </si>
  <si>
    <t>USR_00073</t>
  </si>
  <si>
    <t>USR_00074</t>
  </si>
  <si>
    <t>USR_00075</t>
  </si>
  <si>
    <t>Tablet</t>
  </si>
  <si>
    <t>USR_00076</t>
  </si>
  <si>
    <t>USR_00077</t>
  </si>
  <si>
    <t>USR_00078</t>
  </si>
  <si>
    <t>USR_00079</t>
  </si>
  <si>
    <t>USR_00080</t>
  </si>
  <si>
    <t>USR_00081</t>
  </si>
  <si>
    <t>USR_00082</t>
  </si>
  <si>
    <t>USR_00083</t>
  </si>
  <si>
    <t>USR_00084</t>
  </si>
  <si>
    <t>USR_00085</t>
  </si>
  <si>
    <t>USR_00086</t>
  </si>
  <si>
    <t>USR_00087</t>
  </si>
  <si>
    <t>USR_00088</t>
  </si>
  <si>
    <t>USR_00089</t>
  </si>
  <si>
    <t>USR_00090</t>
  </si>
  <si>
    <t>USR_00091</t>
  </si>
  <si>
    <t>USR_00092</t>
  </si>
  <si>
    <t>USR_00093</t>
  </si>
  <si>
    <t>USR_00094</t>
  </si>
  <si>
    <t>USR_00095</t>
  </si>
  <si>
    <t>USR_00096</t>
  </si>
  <si>
    <t>USR_00097</t>
  </si>
  <si>
    <t>USR_00098</t>
  </si>
  <si>
    <t>USR_00099</t>
  </si>
  <si>
    <t>USR_00100</t>
  </si>
  <si>
    <t>USR_00101</t>
  </si>
  <si>
    <t>USR_00102</t>
  </si>
  <si>
    <t>USR_00103</t>
  </si>
  <si>
    <t>USR_00104</t>
  </si>
  <si>
    <t>USR_00105</t>
  </si>
  <si>
    <t>USR_00106</t>
  </si>
  <si>
    <t>USR_00107</t>
  </si>
  <si>
    <t>USR_00108</t>
  </si>
  <si>
    <t>USR_00109</t>
  </si>
  <si>
    <t>USR_00110</t>
  </si>
  <si>
    <t>USR_00111</t>
  </si>
  <si>
    <t>USR_00112</t>
  </si>
  <si>
    <t>USR_00113</t>
  </si>
  <si>
    <t>USR_00114</t>
  </si>
  <si>
    <t>USR_00115</t>
  </si>
  <si>
    <t>USR_00116</t>
  </si>
  <si>
    <t>USR_00117</t>
  </si>
  <si>
    <t>USR_00118</t>
  </si>
  <si>
    <t>USR_00119</t>
  </si>
  <si>
    <t>USR_00120</t>
  </si>
  <si>
    <t>USR_00121</t>
  </si>
  <si>
    <t>USR_00122</t>
  </si>
  <si>
    <t>USR_00123</t>
  </si>
  <si>
    <t>USR_00124</t>
  </si>
  <si>
    <t>USR_00125</t>
  </si>
  <si>
    <t>USR_00126</t>
  </si>
  <si>
    <t>USR_00127</t>
  </si>
  <si>
    <t>USR_00128</t>
  </si>
  <si>
    <t>USR_00129</t>
  </si>
  <si>
    <t>USR_00130</t>
  </si>
  <si>
    <t>USR_00131</t>
  </si>
  <si>
    <t>USR_00132</t>
  </si>
  <si>
    <t>USR_00133</t>
  </si>
  <si>
    <t>USR_00134</t>
  </si>
  <si>
    <t>USR_00135</t>
  </si>
  <si>
    <t>USR_00136</t>
  </si>
  <si>
    <t>USR_00137</t>
  </si>
  <si>
    <t>USR_00138</t>
  </si>
  <si>
    <t>USR_00139</t>
  </si>
  <si>
    <t>USR_00140</t>
  </si>
  <si>
    <t>USR_00141</t>
  </si>
  <si>
    <t>USR_00142</t>
  </si>
  <si>
    <t>USR_00143</t>
  </si>
  <si>
    <t>USR_00144</t>
  </si>
  <si>
    <t>USR_00145</t>
  </si>
  <si>
    <t>USR_00146</t>
  </si>
  <si>
    <t>USR_00147</t>
  </si>
  <si>
    <t>USR_00148</t>
  </si>
  <si>
    <t>USR_00149</t>
  </si>
  <si>
    <t>USR_00150</t>
  </si>
  <si>
    <t>USR_00151</t>
  </si>
  <si>
    <t>USR_00152</t>
  </si>
  <si>
    <t>USR_00153</t>
  </si>
  <si>
    <t>USR_00154</t>
  </si>
  <si>
    <t>USR_00155</t>
  </si>
  <si>
    <t>USR_00156</t>
  </si>
  <si>
    <t>USR_00157</t>
  </si>
  <si>
    <t>USR_00158</t>
  </si>
  <si>
    <t>USR_00159</t>
  </si>
  <si>
    <t>USR_00160</t>
  </si>
  <si>
    <t>USR_00161</t>
  </si>
  <si>
    <t>USR_00162</t>
  </si>
  <si>
    <t>USR_00163</t>
  </si>
  <si>
    <t>USR_00164</t>
  </si>
  <si>
    <t>USR_00165</t>
  </si>
  <si>
    <t>USR_00166</t>
  </si>
  <si>
    <t>USR_00167</t>
  </si>
  <si>
    <t>USR_00168</t>
  </si>
  <si>
    <t>USR_00169</t>
  </si>
  <si>
    <t>USR_00170</t>
  </si>
  <si>
    <t>USR_00171</t>
  </si>
  <si>
    <t>USR_00172</t>
  </si>
  <si>
    <t>USR_00173</t>
  </si>
  <si>
    <t>USR_00174</t>
  </si>
  <si>
    <t>USR_00175</t>
  </si>
  <si>
    <t>USR_00176</t>
  </si>
  <si>
    <t>USR_00177</t>
  </si>
  <si>
    <t>USR_00178</t>
  </si>
  <si>
    <t>USR_00179</t>
  </si>
  <si>
    <t>USR_00180</t>
  </si>
  <si>
    <t>USR_00181</t>
  </si>
  <si>
    <t>USR_00182</t>
  </si>
  <si>
    <t>USR_00183</t>
  </si>
  <si>
    <t>USR_00184</t>
  </si>
  <si>
    <t>USR_00185</t>
  </si>
  <si>
    <t>USR_00186</t>
  </si>
  <si>
    <t>USR_00187</t>
  </si>
  <si>
    <t>USR_00188</t>
  </si>
  <si>
    <t>USR_00189</t>
  </si>
  <si>
    <t>USR_00190</t>
  </si>
  <si>
    <t>USR_00191</t>
  </si>
  <si>
    <t>USR_00192</t>
  </si>
  <si>
    <t>USR_00193</t>
  </si>
  <si>
    <t>USR_00194</t>
  </si>
  <si>
    <t>USR_00195</t>
  </si>
  <si>
    <t>USR_00196</t>
  </si>
  <si>
    <t>USR_00197</t>
  </si>
  <si>
    <t>USR_00198</t>
  </si>
  <si>
    <t>USR_00199</t>
  </si>
  <si>
    <t>USR_00200</t>
  </si>
  <si>
    <t>USR_00201</t>
  </si>
  <si>
    <t>USR_00202</t>
  </si>
  <si>
    <t>USR_00203</t>
  </si>
  <si>
    <t>USR_00204</t>
  </si>
  <si>
    <t>USR_00205</t>
  </si>
  <si>
    <t>USR_00206</t>
  </si>
  <si>
    <t>USR_00207</t>
  </si>
  <si>
    <t>USR_00208</t>
  </si>
  <si>
    <t>USR_00209</t>
  </si>
  <si>
    <t>USR_00210</t>
  </si>
  <si>
    <t>USR_00211</t>
  </si>
  <si>
    <t>USR_00212</t>
  </si>
  <si>
    <t>USR_00213</t>
  </si>
  <si>
    <t>USR_00214</t>
  </si>
  <si>
    <t>USR_00215</t>
  </si>
  <si>
    <t>USR_00216</t>
  </si>
  <si>
    <t>USR_00217</t>
  </si>
  <si>
    <t>USR_00218</t>
  </si>
  <si>
    <t>USR_00219</t>
  </si>
  <si>
    <t>USR_00220</t>
  </si>
  <si>
    <t>USR_00221</t>
  </si>
  <si>
    <t>USR_00222</t>
  </si>
  <si>
    <t>USR_00223</t>
  </si>
  <si>
    <t>USR_00224</t>
  </si>
  <si>
    <t>USR_00225</t>
  </si>
  <si>
    <t>USR_00226</t>
  </si>
  <si>
    <t>USR_00227</t>
  </si>
  <si>
    <t>USR_00228</t>
  </si>
  <si>
    <t>USR_00229</t>
  </si>
  <si>
    <t>USR_00230</t>
  </si>
  <si>
    <t>USR_00231</t>
  </si>
  <si>
    <t>USR_00232</t>
  </si>
  <si>
    <t>USR_00233</t>
  </si>
  <si>
    <t>USR_00234</t>
  </si>
  <si>
    <t>USR_00235</t>
  </si>
  <si>
    <t>USR_00236</t>
  </si>
  <si>
    <t>USR_00237</t>
  </si>
  <si>
    <t>USR_00238</t>
  </si>
  <si>
    <t>USR_00239</t>
  </si>
  <si>
    <t>USR_00240</t>
  </si>
  <si>
    <t>USR_00241</t>
  </si>
  <si>
    <t>USR_00242</t>
  </si>
  <si>
    <t>USR_00243</t>
  </si>
  <si>
    <t>USR_00244</t>
  </si>
  <si>
    <t>USR_00245</t>
  </si>
  <si>
    <t>USR_00246</t>
  </si>
  <si>
    <t>USR_00247</t>
  </si>
  <si>
    <t>USR_00248</t>
  </si>
  <si>
    <t>USR_00249</t>
  </si>
  <si>
    <t>USR_00250</t>
  </si>
  <si>
    <t>USR_00251</t>
  </si>
  <si>
    <t>USR_00252</t>
  </si>
  <si>
    <t>USR_00253</t>
  </si>
  <si>
    <t>USR_00254</t>
  </si>
  <si>
    <t>USR_00255</t>
  </si>
  <si>
    <t>USR_00256</t>
  </si>
  <si>
    <t>USR_00257</t>
  </si>
  <si>
    <t>USR_00258</t>
  </si>
  <si>
    <t>USR_00259</t>
  </si>
  <si>
    <t>USR_00260</t>
  </si>
  <si>
    <t>USR_00261</t>
  </si>
  <si>
    <t>USR_00262</t>
  </si>
  <si>
    <t>USR_00263</t>
  </si>
  <si>
    <t>USR_00264</t>
  </si>
  <si>
    <t>USR_00265</t>
  </si>
  <si>
    <t>USR_00266</t>
  </si>
  <si>
    <t>USR_00267</t>
  </si>
  <si>
    <t>USR_00268</t>
  </si>
  <si>
    <t>USR_00269</t>
  </si>
  <si>
    <t>USR_00270</t>
  </si>
  <si>
    <t>USR_00271</t>
  </si>
  <si>
    <t>USR_00272</t>
  </si>
  <si>
    <t>USR_00273</t>
  </si>
  <si>
    <t>USR_00274</t>
  </si>
  <si>
    <t>USR_00275</t>
  </si>
  <si>
    <t>USR_00276</t>
  </si>
  <si>
    <t>USR_00277</t>
  </si>
  <si>
    <t>USR_00278</t>
  </si>
  <si>
    <t>USR_00279</t>
  </si>
  <si>
    <t>USR_00280</t>
  </si>
  <si>
    <t>USR_00281</t>
  </si>
  <si>
    <t>USR_00282</t>
  </si>
  <si>
    <t>USR_00283</t>
  </si>
  <si>
    <t>USR_00284</t>
  </si>
  <si>
    <t>USR_00285</t>
  </si>
  <si>
    <t>USR_00286</t>
  </si>
  <si>
    <t>USR_00287</t>
  </si>
  <si>
    <t>USR_00288</t>
  </si>
  <si>
    <t>USR_00289</t>
  </si>
  <si>
    <t>USR_00290</t>
  </si>
  <si>
    <t>USR_00291</t>
  </si>
  <si>
    <t>USR_00292</t>
  </si>
  <si>
    <t>USR_00293</t>
  </si>
  <si>
    <t>USR_00294</t>
  </si>
  <si>
    <t>USR_00295</t>
  </si>
  <si>
    <t>USR_00296</t>
  </si>
  <si>
    <t>USR_00297</t>
  </si>
  <si>
    <t>USR_00298</t>
  </si>
  <si>
    <t>USR_00299</t>
  </si>
  <si>
    <t>USR_00300</t>
  </si>
  <si>
    <t>USR_00301</t>
  </si>
  <si>
    <t>USR_00302</t>
  </si>
  <si>
    <t>USR_00303</t>
  </si>
  <si>
    <t>USR_00304</t>
  </si>
  <si>
    <t>USR_00305</t>
  </si>
  <si>
    <t>USR_00306</t>
  </si>
  <si>
    <t>USR_00307</t>
  </si>
  <si>
    <t>USR_00308</t>
  </si>
  <si>
    <t>USR_00309</t>
  </si>
  <si>
    <t>USR_00310</t>
  </si>
  <si>
    <t>USR_00311</t>
  </si>
  <si>
    <t>USR_00312</t>
  </si>
  <si>
    <t>USR_00313</t>
  </si>
  <si>
    <t>USR_00314</t>
  </si>
  <si>
    <t>USR_00315</t>
  </si>
  <si>
    <t>USR_00316</t>
  </si>
  <si>
    <t>USR_00317</t>
  </si>
  <si>
    <t>USR_00318</t>
  </si>
  <si>
    <t>USR_00319</t>
  </si>
  <si>
    <t>USR_00320</t>
  </si>
  <si>
    <t>USR_00321</t>
  </si>
  <si>
    <t>USR_00322</t>
  </si>
  <si>
    <t>USR_00323</t>
  </si>
  <si>
    <t>USR_00324</t>
  </si>
  <si>
    <t>USR_00325</t>
  </si>
  <si>
    <t>USR_00326</t>
  </si>
  <si>
    <t>USR_00327</t>
  </si>
  <si>
    <t>USR_00328</t>
  </si>
  <si>
    <t>USR_00329</t>
  </si>
  <si>
    <t>USR_00330</t>
  </si>
  <si>
    <t>USR_00331</t>
  </si>
  <si>
    <t>USR_00332</t>
  </si>
  <si>
    <t>USR_00333</t>
  </si>
  <si>
    <t>USR_00334</t>
  </si>
  <si>
    <t>USR_00335</t>
  </si>
  <si>
    <t>USR_00336</t>
  </si>
  <si>
    <t>USR_00337</t>
  </si>
  <si>
    <t>USR_00338</t>
  </si>
  <si>
    <t>USR_00339</t>
  </si>
  <si>
    <t>USR_00340</t>
  </si>
  <si>
    <t>USR_00341</t>
  </si>
  <si>
    <t>USR_00342</t>
  </si>
  <si>
    <t>USR_00343</t>
  </si>
  <si>
    <t>USR_00344</t>
  </si>
  <si>
    <t>USR_00345</t>
  </si>
  <si>
    <t>USR_00346</t>
  </si>
  <si>
    <t>USR_00347</t>
  </si>
  <si>
    <t>USR_00348</t>
  </si>
  <si>
    <t>USR_00349</t>
  </si>
  <si>
    <t>USR_00350</t>
  </si>
  <si>
    <t>USR_00351</t>
  </si>
  <si>
    <t>USR_00352</t>
  </si>
  <si>
    <t>USR_00353</t>
  </si>
  <si>
    <t>USR_00354</t>
  </si>
  <si>
    <t>USR_00355</t>
  </si>
  <si>
    <t>USR_00356</t>
  </si>
  <si>
    <t>USR_00357</t>
  </si>
  <si>
    <t>USR_00358</t>
  </si>
  <si>
    <t>USR_00359</t>
  </si>
  <si>
    <t>USR_00360</t>
  </si>
  <si>
    <t>USR_00361</t>
  </si>
  <si>
    <t>USR_00362</t>
  </si>
  <si>
    <t>USR_00363</t>
  </si>
  <si>
    <t>USR_00364</t>
  </si>
  <si>
    <t>USR_00365</t>
  </si>
  <si>
    <t>USR_00366</t>
  </si>
  <si>
    <t>USR_00367</t>
  </si>
  <si>
    <t>USR_00368</t>
  </si>
  <si>
    <t>USR_00369</t>
  </si>
  <si>
    <t>USR_00370</t>
  </si>
  <si>
    <t>USR_00371</t>
  </si>
  <si>
    <t>USR_00372</t>
  </si>
  <si>
    <t>USR_00373</t>
  </si>
  <si>
    <t>USR_00374</t>
  </si>
  <si>
    <t>USR_00375</t>
  </si>
  <si>
    <t>USR_00376</t>
  </si>
  <si>
    <t>USR_00377</t>
  </si>
  <si>
    <t>USR_00378</t>
  </si>
  <si>
    <t>USR_00379</t>
  </si>
  <si>
    <t>USR_00380</t>
  </si>
  <si>
    <t>USR_00381</t>
  </si>
  <si>
    <t>USR_00382</t>
  </si>
  <si>
    <t>USR_00383</t>
  </si>
  <si>
    <t>USR_00384</t>
  </si>
  <si>
    <t>USR_00385</t>
  </si>
  <si>
    <t>USR_00386</t>
  </si>
  <si>
    <t>USR_00387</t>
  </si>
  <si>
    <t>USR_00388</t>
  </si>
  <si>
    <t>USR_00389</t>
  </si>
  <si>
    <t>USR_00390</t>
  </si>
  <si>
    <t>USR_00391</t>
  </si>
  <si>
    <t>USR_00392</t>
  </si>
  <si>
    <t>USR_00393</t>
  </si>
  <si>
    <t>USR_00394</t>
  </si>
  <si>
    <t>USR_00395</t>
  </si>
  <si>
    <t>USR_00396</t>
  </si>
  <si>
    <t>USR_00397</t>
  </si>
  <si>
    <t>USR_00398</t>
  </si>
  <si>
    <t>USR_00399</t>
  </si>
  <si>
    <t>USR_00400</t>
  </si>
  <si>
    <t>USR_00401</t>
  </si>
  <si>
    <t>USR_00402</t>
  </si>
  <si>
    <t>USR_00403</t>
  </si>
  <si>
    <t>USR_00404</t>
  </si>
  <si>
    <t>USR_00405</t>
  </si>
  <si>
    <t>USR_00406</t>
  </si>
  <si>
    <t>USR_00407</t>
  </si>
  <si>
    <t>USR_00408</t>
  </si>
  <si>
    <t>USR_00409</t>
  </si>
  <si>
    <t>USR_00410</t>
  </si>
  <si>
    <t>USR_00411</t>
  </si>
  <si>
    <t>USR_00412</t>
  </si>
  <si>
    <t>USR_00413</t>
  </si>
  <si>
    <t>USR_00414</t>
  </si>
  <si>
    <t>USR_00415</t>
  </si>
  <si>
    <t>USR_00416</t>
  </si>
  <si>
    <t>USR_00417</t>
  </si>
  <si>
    <t>USR_00418</t>
  </si>
  <si>
    <t>USR_00419</t>
  </si>
  <si>
    <t>USR_00420</t>
  </si>
  <si>
    <t>USR_00421</t>
  </si>
  <si>
    <t>USR_00422</t>
  </si>
  <si>
    <t>USR_00423</t>
  </si>
  <si>
    <t>USR_00424</t>
  </si>
  <si>
    <t>USR_00425</t>
  </si>
  <si>
    <t>USR_00426</t>
  </si>
  <si>
    <t>USR_00427</t>
  </si>
  <si>
    <t>USR_00428</t>
  </si>
  <si>
    <t>USR_00429</t>
  </si>
  <si>
    <t>USR_00430</t>
  </si>
  <si>
    <t>USR_00431</t>
  </si>
  <si>
    <t>USR_00432</t>
  </si>
  <si>
    <t>USR_00433</t>
  </si>
  <si>
    <t>USR_00434</t>
  </si>
  <si>
    <t>USR_00435</t>
  </si>
  <si>
    <t>USR_00436</t>
  </si>
  <si>
    <t>USR_00437</t>
  </si>
  <si>
    <t>USR_00438</t>
  </si>
  <si>
    <t>USR_00439</t>
  </si>
  <si>
    <t>USR_00440</t>
  </si>
  <si>
    <t>USR_00441</t>
  </si>
  <si>
    <t>USR_00442</t>
  </si>
  <si>
    <t>USR_00443</t>
  </si>
  <si>
    <t>USR_00444</t>
  </si>
  <si>
    <t>USR_00445</t>
  </si>
  <si>
    <t>USR_00446</t>
  </si>
  <si>
    <t>USR_00447</t>
  </si>
  <si>
    <t>USR_00448</t>
  </si>
  <si>
    <t>USR_00449</t>
  </si>
  <si>
    <t>USR_00450</t>
  </si>
  <si>
    <t>USR_00451</t>
  </si>
  <si>
    <t>USR_00452</t>
  </si>
  <si>
    <t>USR_00453</t>
  </si>
  <si>
    <t>USR_00454</t>
  </si>
  <si>
    <t>USR_00455</t>
  </si>
  <si>
    <t>USR_00456</t>
  </si>
  <si>
    <t>USR_00457</t>
  </si>
  <si>
    <t>USR_00458</t>
  </si>
  <si>
    <t>USR_00459</t>
  </si>
  <si>
    <t>USR_00460</t>
  </si>
  <si>
    <t>USR_00461</t>
  </si>
  <si>
    <t>USR_00462</t>
  </si>
  <si>
    <t>USR_00463</t>
  </si>
  <si>
    <t>USR_00464</t>
  </si>
  <si>
    <t>USR_00465</t>
  </si>
  <si>
    <t>USR_00466</t>
  </si>
  <si>
    <t>USR_00467</t>
  </si>
  <si>
    <t>USR_00468</t>
  </si>
  <si>
    <t>USR_00469</t>
  </si>
  <si>
    <t>USR_00470</t>
  </si>
  <si>
    <t>USR_00471</t>
  </si>
  <si>
    <t>USR_00472</t>
  </si>
  <si>
    <t>USR_00473</t>
  </si>
  <si>
    <t>USR_00474</t>
  </si>
  <si>
    <t>USR_00475</t>
  </si>
  <si>
    <t>USR_00476</t>
  </si>
  <si>
    <t>USR_00477</t>
  </si>
  <si>
    <t>USR_00478</t>
  </si>
  <si>
    <t>USR_00479</t>
  </si>
  <si>
    <t>USR_00480</t>
  </si>
  <si>
    <t>USR_00481</t>
  </si>
  <si>
    <t>USR_00482</t>
  </si>
  <si>
    <t>USR_00483</t>
  </si>
  <si>
    <t>USR_00484</t>
  </si>
  <si>
    <t>USR_00485</t>
  </si>
  <si>
    <t>USR_00486</t>
  </si>
  <si>
    <t>USR_00487</t>
  </si>
  <si>
    <t>USR_00488</t>
  </si>
  <si>
    <t>USR_00489</t>
  </si>
  <si>
    <t>USR_00490</t>
  </si>
  <si>
    <t>USR_00491</t>
  </si>
  <si>
    <t>USR_00492</t>
  </si>
  <si>
    <t>USR_00493</t>
  </si>
  <si>
    <t>USR_00494</t>
  </si>
  <si>
    <t>USR_00495</t>
  </si>
  <si>
    <t>USR_00496</t>
  </si>
  <si>
    <t>USR_00497</t>
  </si>
  <si>
    <t>USR_00498</t>
  </si>
  <si>
    <t>USR_00499</t>
  </si>
  <si>
    <t>USR_00500</t>
  </si>
  <si>
    <t>USR_00501</t>
  </si>
  <si>
    <t>USR_00502</t>
  </si>
  <si>
    <t>USR_00503</t>
  </si>
  <si>
    <t>USR_00504</t>
  </si>
  <si>
    <t>USR_00505</t>
  </si>
  <si>
    <t>USR_00506</t>
  </si>
  <si>
    <t>USR_00507</t>
  </si>
  <si>
    <t>USR_00508</t>
  </si>
  <si>
    <t>USR_00509</t>
  </si>
  <si>
    <t>USR_00510</t>
  </si>
  <si>
    <t>USR_00511</t>
  </si>
  <si>
    <t>USR_00512</t>
  </si>
  <si>
    <t>USR_00513</t>
  </si>
  <si>
    <t>USR_00514</t>
  </si>
  <si>
    <t>USR_00515</t>
  </si>
  <si>
    <t>USR_00516</t>
  </si>
  <si>
    <t>USR_00517</t>
  </si>
  <si>
    <t>USR_00518</t>
  </si>
  <si>
    <t>USR_00519</t>
  </si>
  <si>
    <t>USR_00520</t>
  </si>
  <si>
    <t>USR_00521</t>
  </si>
  <si>
    <t>USR_00522</t>
  </si>
  <si>
    <t>USR_00523</t>
  </si>
  <si>
    <t>USR_00524</t>
  </si>
  <si>
    <t>USR_00525</t>
  </si>
  <si>
    <t>USR_00526</t>
  </si>
  <si>
    <t>USR_00527</t>
  </si>
  <si>
    <t>USR_00528</t>
  </si>
  <si>
    <t>USR_00529</t>
  </si>
  <si>
    <t>USR_00530</t>
  </si>
  <si>
    <t>USR_00531</t>
  </si>
  <si>
    <t>USR_00532</t>
  </si>
  <si>
    <t>USR_00533</t>
  </si>
  <si>
    <t>USR_00534</t>
  </si>
  <si>
    <t>USR_00535</t>
  </si>
  <si>
    <t>USR_00536</t>
  </si>
  <si>
    <t>USR_00537</t>
  </si>
  <si>
    <t>USR_00538</t>
  </si>
  <si>
    <t>USR_00539</t>
  </si>
  <si>
    <t>USR_00540</t>
  </si>
  <si>
    <t>USR_00541</t>
  </si>
  <si>
    <t>USR_00542</t>
  </si>
  <si>
    <t>USR_00543</t>
  </si>
  <si>
    <t>USR_00544</t>
  </si>
  <si>
    <t>USR_00545</t>
  </si>
  <si>
    <t>USR_00546</t>
  </si>
  <si>
    <t>USR_00547</t>
  </si>
  <si>
    <t>USR_00548</t>
  </si>
  <si>
    <t>USR_00549</t>
  </si>
  <si>
    <t>USR_00550</t>
  </si>
  <si>
    <t>USR_00551</t>
  </si>
  <si>
    <t>USR_00552</t>
  </si>
  <si>
    <t>USR_00553</t>
  </si>
  <si>
    <t>USR_00554</t>
  </si>
  <si>
    <t>USR_00555</t>
  </si>
  <si>
    <t>USR_00556</t>
  </si>
  <si>
    <t>USR_00557</t>
  </si>
  <si>
    <t>USR_00558</t>
  </si>
  <si>
    <t>USR_00559</t>
  </si>
  <si>
    <t>USR_00560</t>
  </si>
  <si>
    <t>USR_00561</t>
  </si>
  <si>
    <t>USR_00562</t>
  </si>
  <si>
    <t>USR_00563</t>
  </si>
  <si>
    <t>USR_00564</t>
  </si>
  <si>
    <t>USR_00565</t>
  </si>
  <si>
    <t>USR_00566</t>
  </si>
  <si>
    <t>USR_00567</t>
  </si>
  <si>
    <t>USR_00568</t>
  </si>
  <si>
    <t>USR_00569</t>
  </si>
  <si>
    <t>USR_00570</t>
  </si>
  <si>
    <t>USR_00571</t>
  </si>
  <si>
    <t>USR_00572</t>
  </si>
  <si>
    <t>USR_00573</t>
  </si>
  <si>
    <t>USR_00574</t>
  </si>
  <si>
    <t>USR_00575</t>
  </si>
  <si>
    <t>USR_00576</t>
  </si>
  <si>
    <t>USR_00577</t>
  </si>
  <si>
    <t>USR_00578</t>
  </si>
  <si>
    <t>USR_00579</t>
  </si>
  <si>
    <t>USR_00580</t>
  </si>
  <si>
    <t>USR_00581</t>
  </si>
  <si>
    <t>USR_00582</t>
  </si>
  <si>
    <t>USR_00583</t>
  </si>
  <si>
    <t>USR_00584</t>
  </si>
  <si>
    <t>USR_00585</t>
  </si>
  <si>
    <t>USR_00586</t>
  </si>
  <si>
    <t>USR_00587</t>
  </si>
  <si>
    <t>USR_00588</t>
  </si>
  <si>
    <t>USR_00589</t>
  </si>
  <si>
    <t>USR_00590</t>
  </si>
  <si>
    <t>USR_00591</t>
  </si>
  <si>
    <t>USR_00592</t>
  </si>
  <si>
    <t>USR_00593</t>
  </si>
  <si>
    <t>USR_00594</t>
  </si>
  <si>
    <t>USR_00595</t>
  </si>
  <si>
    <t>USR_00596</t>
  </si>
  <si>
    <t>USR_00597</t>
  </si>
  <si>
    <t>USR_00598</t>
  </si>
  <si>
    <t>USR_00599</t>
  </si>
  <si>
    <t>USR_00600</t>
  </si>
  <si>
    <t>USR_00601</t>
  </si>
  <si>
    <t>USR_00602</t>
  </si>
  <si>
    <t>USR_00603</t>
  </si>
  <si>
    <t>USR_00604</t>
  </si>
  <si>
    <t>USR_00605</t>
  </si>
  <si>
    <t>USR_00606</t>
  </si>
  <si>
    <t>USR_00607</t>
  </si>
  <si>
    <t>USR_00608</t>
  </si>
  <si>
    <t>USR_00609</t>
  </si>
  <si>
    <t>USR_00610</t>
  </si>
  <si>
    <t>USR_00611</t>
  </si>
  <si>
    <t>USR_00612</t>
  </si>
  <si>
    <t>USR_00613</t>
  </si>
  <si>
    <t>USR_00614</t>
  </si>
  <si>
    <t>USR_00615</t>
  </si>
  <si>
    <t>USR_00616</t>
  </si>
  <si>
    <t>USR_00617</t>
  </si>
  <si>
    <t>USR_00618</t>
  </si>
  <si>
    <t>USR_00619</t>
  </si>
  <si>
    <t>USR_00620</t>
  </si>
  <si>
    <t>USR_00621</t>
  </si>
  <si>
    <t>USR_00622</t>
  </si>
  <si>
    <t>USR_00623</t>
  </si>
  <si>
    <t>USR_00624</t>
  </si>
  <si>
    <t>USR_00625</t>
  </si>
  <si>
    <t>USR_00626</t>
  </si>
  <si>
    <t>USR_00627</t>
  </si>
  <si>
    <t>USR_00628</t>
  </si>
  <si>
    <t>USR_00629</t>
  </si>
  <si>
    <t>USR_00630</t>
  </si>
  <si>
    <t>USR_00631</t>
  </si>
  <si>
    <t>USR_00632</t>
  </si>
  <si>
    <t>USR_00633</t>
  </si>
  <si>
    <t>USR_00634</t>
  </si>
  <si>
    <t>USR_00635</t>
  </si>
  <si>
    <t>USR_00636</t>
  </si>
  <si>
    <t>USR_00637</t>
  </si>
  <si>
    <t>USR_00638</t>
  </si>
  <si>
    <t>USR_00639</t>
  </si>
  <si>
    <t>USR_00640</t>
  </si>
  <si>
    <t>USR_00641</t>
  </si>
  <si>
    <t>USR_00642</t>
  </si>
  <si>
    <t>USR_00643</t>
  </si>
  <si>
    <t>USR_00644</t>
  </si>
  <si>
    <t>USR_00645</t>
  </si>
  <si>
    <t>USR_00646</t>
  </si>
  <si>
    <t>USR_00647</t>
  </si>
  <si>
    <t>USR_00648</t>
  </si>
  <si>
    <t>USR_00649</t>
  </si>
  <si>
    <t>USR_00650</t>
  </si>
  <si>
    <t>USR_00651</t>
  </si>
  <si>
    <t>USR_00652</t>
  </si>
  <si>
    <t>USR_00653</t>
  </si>
  <si>
    <t>USR_00654</t>
  </si>
  <si>
    <t>USR_00655</t>
  </si>
  <si>
    <t>USR_00656</t>
  </si>
  <si>
    <t>USR_00657</t>
  </si>
  <si>
    <t>USR_00658</t>
  </si>
  <si>
    <t>USR_00659</t>
  </si>
  <si>
    <t>USR_00660</t>
  </si>
  <si>
    <t>USR_00661</t>
  </si>
  <si>
    <t>USR_00662</t>
  </si>
  <si>
    <t>USR_00663</t>
  </si>
  <si>
    <t>USR_00664</t>
  </si>
  <si>
    <t>USR_00665</t>
  </si>
  <si>
    <t>USR_00666</t>
  </si>
  <si>
    <t>USR_00667</t>
  </si>
  <si>
    <t>USR_00668</t>
  </si>
  <si>
    <t>USR_00669</t>
  </si>
  <si>
    <t>USR_00670</t>
  </si>
  <si>
    <t>USR_00671</t>
  </si>
  <si>
    <t>USR_00672</t>
  </si>
  <si>
    <t>USR_00673</t>
  </si>
  <si>
    <t>USR_00674</t>
  </si>
  <si>
    <t>USR_00675</t>
  </si>
  <si>
    <t>USR_00676</t>
  </si>
  <si>
    <t>USR_00677</t>
  </si>
  <si>
    <t>USR_00678</t>
  </si>
  <si>
    <t>USR_00679</t>
  </si>
  <si>
    <t>USR_00680</t>
  </si>
  <si>
    <t>USR_00681</t>
  </si>
  <si>
    <t>USR_00682</t>
  </si>
  <si>
    <t>USR_00683</t>
  </si>
  <si>
    <t>USR_00684</t>
  </si>
  <si>
    <t>USR_00685</t>
  </si>
  <si>
    <t>USR_00686</t>
  </si>
  <si>
    <t>USR_00687</t>
  </si>
  <si>
    <t>USR_00688</t>
  </si>
  <si>
    <t>USR_00689</t>
  </si>
  <si>
    <t>USR_00690</t>
  </si>
  <si>
    <t>USR_00691</t>
  </si>
  <si>
    <t>USR_00692</t>
  </si>
  <si>
    <t>USR_00693</t>
  </si>
  <si>
    <t>USR_00694</t>
  </si>
  <si>
    <t>USR_00695</t>
  </si>
  <si>
    <t>USR_00696</t>
  </si>
  <si>
    <t>USR_00697</t>
  </si>
  <si>
    <t>USR_00698</t>
  </si>
  <si>
    <t>USR_00699</t>
  </si>
  <si>
    <t>USR_00700</t>
  </si>
  <si>
    <t>USR_00701</t>
  </si>
  <si>
    <t>USR_00702</t>
  </si>
  <si>
    <t>USR_00703</t>
  </si>
  <si>
    <t>USR_00704</t>
  </si>
  <si>
    <t>USR_00705</t>
  </si>
  <si>
    <t>USR_00706</t>
  </si>
  <si>
    <t>USR_00707</t>
  </si>
  <si>
    <t>USR_00708</t>
  </si>
  <si>
    <t>USR_00709</t>
  </si>
  <si>
    <t>USR_00710</t>
  </si>
  <si>
    <t>USR_00711</t>
  </si>
  <si>
    <t>USR_00712</t>
  </si>
  <si>
    <t>USR_00713</t>
  </si>
  <si>
    <t>USR_00714</t>
  </si>
  <si>
    <t>USR_00715</t>
  </si>
  <si>
    <t>USR_00716</t>
  </si>
  <si>
    <t>USR_00717</t>
  </si>
  <si>
    <t>USR_00718</t>
  </si>
  <si>
    <t>USR_00719</t>
  </si>
  <si>
    <t>USR_00720</t>
  </si>
  <si>
    <t>USR_00721</t>
  </si>
  <si>
    <t>USR_00722</t>
  </si>
  <si>
    <t>USR_00723</t>
  </si>
  <si>
    <t>USR_00724</t>
  </si>
  <si>
    <t>USR_00725</t>
  </si>
  <si>
    <t>USR_00726</t>
  </si>
  <si>
    <t>USR_00727</t>
  </si>
  <si>
    <t>USR_00728</t>
  </si>
  <si>
    <t>USR_00729</t>
  </si>
  <si>
    <t>USR_00730</t>
  </si>
  <si>
    <t>USR_00731</t>
  </si>
  <si>
    <t>USR_00732</t>
  </si>
  <si>
    <t>USR_00733</t>
  </si>
  <si>
    <t>USR_00734</t>
  </si>
  <si>
    <t>USR_00735</t>
  </si>
  <si>
    <t>USR_00736</t>
  </si>
  <si>
    <t>USR_00737</t>
  </si>
  <si>
    <t>USR_00738</t>
  </si>
  <si>
    <t>USR_00739</t>
  </si>
  <si>
    <t>USR_00740</t>
  </si>
  <si>
    <t>USR_00741</t>
  </si>
  <si>
    <t>USR_00742</t>
  </si>
  <si>
    <t>USR_00743</t>
  </si>
  <si>
    <t>USR_00744</t>
  </si>
  <si>
    <t>USR_00745</t>
  </si>
  <si>
    <t>USR_00746</t>
  </si>
  <si>
    <t>USR_00747</t>
  </si>
  <si>
    <t>USR_00748</t>
  </si>
  <si>
    <t>USR_00749</t>
  </si>
  <si>
    <t>USR_00750</t>
  </si>
  <si>
    <t>USR_00751</t>
  </si>
  <si>
    <t>USR_00752</t>
  </si>
  <si>
    <t>USR_00753</t>
  </si>
  <si>
    <t>USR_00754</t>
  </si>
  <si>
    <t>USR_00755</t>
  </si>
  <si>
    <t>USR_00756</t>
  </si>
  <si>
    <t>USR_00757</t>
  </si>
  <si>
    <t>USR_00758</t>
  </si>
  <si>
    <t>USR_00759</t>
  </si>
  <si>
    <t>USR_00760</t>
  </si>
  <si>
    <t>USR_00761</t>
  </si>
  <si>
    <t>USR_00762</t>
  </si>
  <si>
    <t>USR_00763</t>
  </si>
  <si>
    <t>USR_00764</t>
  </si>
  <si>
    <t>USR_00765</t>
  </si>
  <si>
    <t>USR_00766</t>
  </si>
  <si>
    <t>USR_00767</t>
  </si>
  <si>
    <t>USR_00768</t>
  </si>
  <si>
    <t>USR_00769</t>
  </si>
  <si>
    <t>USR_00770</t>
  </si>
  <si>
    <t>USR_00771</t>
  </si>
  <si>
    <t>USR_00772</t>
  </si>
  <si>
    <t>USR_00773</t>
  </si>
  <si>
    <t>USR_00774</t>
  </si>
  <si>
    <t>USR_00775</t>
  </si>
  <si>
    <t>USR_00776</t>
  </si>
  <si>
    <t>USR_00777</t>
  </si>
  <si>
    <t>USR_00778</t>
  </si>
  <si>
    <t>USR_00779</t>
  </si>
  <si>
    <t>USR_00780</t>
  </si>
  <si>
    <t>USR_00781</t>
  </si>
  <si>
    <t>USR_00782</t>
  </si>
  <si>
    <t>USR_00783</t>
  </si>
  <si>
    <t>USR_00784</t>
  </si>
  <si>
    <t>USR_00785</t>
  </si>
  <si>
    <t>USR_00786</t>
  </si>
  <si>
    <t>USR_00787</t>
  </si>
  <si>
    <t>USR_00788</t>
  </si>
  <si>
    <t>USR_00789</t>
  </si>
  <si>
    <t>USR_00790</t>
  </si>
  <si>
    <t>USR_00791</t>
  </si>
  <si>
    <t>USR_00792</t>
  </si>
  <si>
    <t>USR_00793</t>
  </si>
  <si>
    <t>USR_00794</t>
  </si>
  <si>
    <t>USR_00795</t>
  </si>
  <si>
    <t>USR_00796</t>
  </si>
  <si>
    <t>USR_00797</t>
  </si>
  <si>
    <t>USR_00798</t>
  </si>
  <si>
    <t>USR_00799</t>
  </si>
  <si>
    <t>USR_00800</t>
  </si>
  <si>
    <t>USR_00801</t>
  </si>
  <si>
    <t>USR_00802</t>
  </si>
  <si>
    <t>USR_00803</t>
  </si>
  <si>
    <t>USR_00804</t>
  </si>
  <si>
    <t>USR_00805</t>
  </si>
  <si>
    <t>USR_00806</t>
  </si>
  <si>
    <t>USR_00807</t>
  </si>
  <si>
    <t>USR_00808</t>
  </si>
  <si>
    <t>USR_00809</t>
  </si>
  <si>
    <t>USR_00810</t>
  </si>
  <si>
    <t>USR_00811</t>
  </si>
  <si>
    <t>USR_00812</t>
  </si>
  <si>
    <t>USR_00813</t>
  </si>
  <si>
    <t>USR_00814</t>
  </si>
  <si>
    <t>USR_00815</t>
  </si>
  <si>
    <t>USR_00816</t>
  </si>
  <si>
    <t>USR_00817</t>
  </si>
  <si>
    <t>USR_00818</t>
  </si>
  <si>
    <t>USR_00819</t>
  </si>
  <si>
    <t>USR_00820</t>
  </si>
  <si>
    <t>USR_00821</t>
  </si>
  <si>
    <t>USR_00822</t>
  </si>
  <si>
    <t>USR_00823</t>
  </si>
  <si>
    <t>USR_00824</t>
  </si>
  <si>
    <t>USR_00825</t>
  </si>
  <si>
    <t>USR_00826</t>
  </si>
  <si>
    <t>USR_00827</t>
  </si>
  <si>
    <t>USR_00828</t>
  </si>
  <si>
    <t>USR_00829</t>
  </si>
  <si>
    <t>USR_00830</t>
  </si>
  <si>
    <t>USR_00831</t>
  </si>
  <si>
    <t>USR_00832</t>
  </si>
  <si>
    <t>USR_00833</t>
  </si>
  <si>
    <t>USR_00834</t>
  </si>
  <si>
    <t>USR_00835</t>
  </si>
  <si>
    <t>USR_00836</t>
  </si>
  <si>
    <t>USR_00837</t>
  </si>
  <si>
    <t>USR_00838</t>
  </si>
  <si>
    <t>USR_00839</t>
  </si>
  <si>
    <t>USR_00840</t>
  </si>
  <si>
    <t>USR_00841</t>
  </si>
  <si>
    <t>USR_00842</t>
  </si>
  <si>
    <t>USR_00843</t>
  </si>
  <si>
    <t>USR_00844</t>
  </si>
  <si>
    <t>USR_00845</t>
  </si>
  <si>
    <t>USR_00846</t>
  </si>
  <si>
    <t>USR_00847</t>
  </si>
  <si>
    <t>USR_00848</t>
  </si>
  <si>
    <t>USR_00849</t>
  </si>
  <si>
    <t>USR_00850</t>
  </si>
  <si>
    <t>USR_00851</t>
  </si>
  <si>
    <t>USR_00852</t>
  </si>
  <si>
    <t>USR_00853</t>
  </si>
  <si>
    <t>USR_00854</t>
  </si>
  <si>
    <t>USR_00855</t>
  </si>
  <si>
    <t>USR_00856</t>
  </si>
  <si>
    <t>USR_00857</t>
  </si>
  <si>
    <t>USR_00858</t>
  </si>
  <si>
    <t>USR_00859</t>
  </si>
  <si>
    <t>USR_00860</t>
  </si>
  <si>
    <t>USR_00861</t>
  </si>
  <si>
    <t>USR_00862</t>
  </si>
  <si>
    <t>USR_00863</t>
  </si>
  <si>
    <t>USR_00864</t>
  </si>
  <si>
    <t>USR_00865</t>
  </si>
  <si>
    <t>USR_00866</t>
  </si>
  <si>
    <t>USR_00867</t>
  </si>
  <si>
    <t>USR_00868</t>
  </si>
  <si>
    <t>USR_00869</t>
  </si>
  <si>
    <t>USR_00870</t>
  </si>
  <si>
    <t>USR_00871</t>
  </si>
  <si>
    <t>USR_00872</t>
  </si>
  <si>
    <t>USR_00873</t>
  </si>
  <si>
    <t>USR_00874</t>
  </si>
  <si>
    <t>USR_00875</t>
  </si>
  <si>
    <t>USR_00876</t>
  </si>
  <si>
    <t>USR_00877</t>
  </si>
  <si>
    <t>USR_00878</t>
  </si>
  <si>
    <t>USR_00879</t>
  </si>
  <si>
    <t>USR_00880</t>
  </si>
  <si>
    <t>USR_00881</t>
  </si>
  <si>
    <t>USR_00882</t>
  </si>
  <si>
    <t>USR_00883</t>
  </si>
  <si>
    <t>USR_00884</t>
  </si>
  <si>
    <t>USR_00885</t>
  </si>
  <si>
    <t>USR_00886</t>
  </si>
  <si>
    <t>USR_00887</t>
  </si>
  <si>
    <t>USR_00888</t>
  </si>
  <si>
    <t>USR_00889</t>
  </si>
  <si>
    <t>USR_00890</t>
  </si>
  <si>
    <t>USR_00891</t>
  </si>
  <si>
    <t>USR_00892</t>
  </si>
  <si>
    <t>USR_00893</t>
  </si>
  <si>
    <t>USR_00894</t>
  </si>
  <si>
    <t>USR_00895</t>
  </si>
  <si>
    <t>USR_00896</t>
  </si>
  <si>
    <t>USR_00897</t>
  </si>
  <si>
    <t>USR_00898</t>
  </si>
  <si>
    <t>USR_00899</t>
  </si>
  <si>
    <t>USR_00900</t>
  </si>
  <si>
    <t>USR_00901</t>
  </si>
  <si>
    <t>USR_00902</t>
  </si>
  <si>
    <t>USR_00903</t>
  </si>
  <si>
    <t>USR_00904</t>
  </si>
  <si>
    <t>USR_00905</t>
  </si>
  <si>
    <t>USR_00906</t>
  </si>
  <si>
    <t>USR_00907</t>
  </si>
  <si>
    <t>USR_00908</t>
  </si>
  <si>
    <t>USR_00909</t>
  </si>
  <si>
    <t>USR_00910</t>
  </si>
  <si>
    <t>USR_00911</t>
  </si>
  <si>
    <t>USR_00912</t>
  </si>
  <si>
    <t>USR_00913</t>
  </si>
  <si>
    <t>USR_00914</t>
  </si>
  <si>
    <t>USR_00915</t>
  </si>
  <si>
    <t>USR_00916</t>
  </si>
  <si>
    <t>USR_00917</t>
  </si>
  <si>
    <t>USR_00918</t>
  </si>
  <si>
    <t>USR_00919</t>
  </si>
  <si>
    <t>USR_00920</t>
  </si>
  <si>
    <t>USR_00921</t>
  </si>
  <si>
    <t>USR_00922</t>
  </si>
  <si>
    <t>USR_00923</t>
  </si>
  <si>
    <t>USR_00924</t>
  </si>
  <si>
    <t>USR_00925</t>
  </si>
  <si>
    <t>USR_00926</t>
  </si>
  <si>
    <t>USR_00927</t>
  </si>
  <si>
    <t>USR_00928</t>
  </si>
  <si>
    <t>USR_00929</t>
  </si>
  <si>
    <t>USR_00930</t>
  </si>
  <si>
    <t>USR_00931</t>
  </si>
  <si>
    <t>USR_00932</t>
  </si>
  <si>
    <t>USR_00933</t>
  </si>
  <si>
    <t>USR_00934</t>
  </si>
  <si>
    <t>USR_00935</t>
  </si>
  <si>
    <t>USR_00936</t>
  </si>
  <si>
    <t>USR_00937</t>
  </si>
  <si>
    <t>USR_00938</t>
  </si>
  <si>
    <t>USR_00939</t>
  </si>
  <si>
    <t>USR_00940</t>
  </si>
  <si>
    <t>USR_00941</t>
  </si>
  <si>
    <t>USR_00942</t>
  </si>
  <si>
    <t>USR_00943</t>
  </si>
  <si>
    <t>USR_00944</t>
  </si>
  <si>
    <t>USR_00945</t>
  </si>
  <si>
    <t>USR_00946</t>
  </si>
  <si>
    <t>USR_00947</t>
  </si>
  <si>
    <t>USR_00948</t>
  </si>
  <si>
    <t>USR_00949</t>
  </si>
  <si>
    <t>USR_00950</t>
  </si>
  <si>
    <t>USR_00951</t>
  </si>
  <si>
    <t>USR_00952</t>
  </si>
  <si>
    <t>USR_00953</t>
  </si>
  <si>
    <t>USR_00954</t>
  </si>
  <si>
    <t>USR_00955</t>
  </si>
  <si>
    <t>USR_00956</t>
  </si>
  <si>
    <t>USR_00957</t>
  </si>
  <si>
    <t>USR_00958</t>
  </si>
  <si>
    <t>USR_00959</t>
  </si>
  <si>
    <t>USR_00960</t>
  </si>
  <si>
    <t>USR_00961</t>
  </si>
  <si>
    <t>USR_00962</t>
  </si>
  <si>
    <t>USR_00963</t>
  </si>
  <si>
    <t>USR_00964</t>
  </si>
  <si>
    <t>USR_00965</t>
  </si>
  <si>
    <t>USR_00966</t>
  </si>
  <si>
    <t>USR_00967</t>
  </si>
  <si>
    <t>USR_00968</t>
  </si>
  <si>
    <t>USR_00969</t>
  </si>
  <si>
    <t>USR_00970</t>
  </si>
  <si>
    <t>USR_00971</t>
  </si>
  <si>
    <t>USR_00972</t>
  </si>
  <si>
    <t>USR_00973</t>
  </si>
  <si>
    <t>USR_00974</t>
  </si>
  <si>
    <t>USR_00975</t>
  </si>
  <si>
    <t>USR_00976</t>
  </si>
  <si>
    <t>USR_00977</t>
  </si>
  <si>
    <t>USR_00978</t>
  </si>
  <si>
    <t>USR_00979</t>
  </si>
  <si>
    <t>USR_00980</t>
  </si>
  <si>
    <t>USR_00981</t>
  </si>
  <si>
    <t>USR_00982</t>
  </si>
  <si>
    <t>USR_00983</t>
  </si>
  <si>
    <t>USR_00984</t>
  </si>
  <si>
    <t>USR_00985</t>
  </si>
  <si>
    <t>USR_00986</t>
  </si>
  <si>
    <t>USR_00987</t>
  </si>
  <si>
    <t>USR_00988</t>
  </si>
  <si>
    <t>USR_00989</t>
  </si>
  <si>
    <t>USR_00990</t>
  </si>
  <si>
    <t>USR_00991</t>
  </si>
  <si>
    <t>USR_00992</t>
  </si>
  <si>
    <t>USR_00993</t>
  </si>
  <si>
    <t>USR_00994</t>
  </si>
  <si>
    <t>USR_00995</t>
  </si>
  <si>
    <t>USR_00996</t>
  </si>
  <si>
    <t>USR_00997</t>
  </si>
  <si>
    <t>USR_00998</t>
  </si>
  <si>
    <t>USR_00999</t>
  </si>
  <si>
    <t>USR_01000</t>
  </si>
  <si>
    <t>USR_01001</t>
  </si>
  <si>
    <t>USR_01002</t>
  </si>
  <si>
    <t>USR_01003</t>
  </si>
  <si>
    <t>USR_01004</t>
  </si>
  <si>
    <t>USR_01005</t>
  </si>
  <si>
    <t>USR_01006</t>
  </si>
  <si>
    <t>USR_01007</t>
  </si>
  <si>
    <t>USR_01008</t>
  </si>
  <si>
    <t>USR_01009</t>
  </si>
  <si>
    <t>USR_01010</t>
  </si>
  <si>
    <t>USR_01011</t>
  </si>
  <si>
    <t>USR_01012</t>
  </si>
  <si>
    <t>USR_01013</t>
  </si>
  <si>
    <t>USR_01014</t>
  </si>
  <si>
    <t>USR_01015</t>
  </si>
  <si>
    <t>USR_01016</t>
  </si>
  <si>
    <t>USR_01017</t>
  </si>
  <si>
    <t>USR_01018</t>
  </si>
  <si>
    <t>USR_01019</t>
  </si>
  <si>
    <t>USR_01020</t>
  </si>
  <si>
    <t>USR_01021</t>
  </si>
  <si>
    <t>USR_01022</t>
  </si>
  <si>
    <t>USR_01023</t>
  </si>
  <si>
    <t>USR_01024</t>
  </si>
  <si>
    <t>USR_01025</t>
  </si>
  <si>
    <t>USR_01026</t>
  </si>
  <si>
    <t>USR_01027</t>
  </si>
  <si>
    <t>USR_01028</t>
  </si>
  <si>
    <t>USR_01029</t>
  </si>
  <si>
    <t>USR_01030</t>
  </si>
  <si>
    <t>USR_01031</t>
  </si>
  <si>
    <t>USR_01032</t>
  </si>
  <si>
    <t>USR_01033</t>
  </si>
  <si>
    <t>USR_01034</t>
  </si>
  <si>
    <t>USR_01035</t>
  </si>
  <si>
    <t>USR_01036</t>
  </si>
  <si>
    <t>USR_01037</t>
  </si>
  <si>
    <t>USR_01038</t>
  </si>
  <si>
    <t>USR_01039</t>
  </si>
  <si>
    <t>USR_01040</t>
  </si>
  <si>
    <t>USR_01041</t>
  </si>
  <si>
    <t>USR_01042</t>
  </si>
  <si>
    <t>USR_01043</t>
  </si>
  <si>
    <t>USR_01044</t>
  </si>
  <si>
    <t>USR_01045</t>
  </si>
  <si>
    <t>USR_01046</t>
  </si>
  <si>
    <t>USR_01047</t>
  </si>
  <si>
    <t>USR_01048</t>
  </si>
  <si>
    <t>USR_01049</t>
  </si>
  <si>
    <t>USR_01050</t>
  </si>
  <si>
    <t>USR_01051</t>
  </si>
  <si>
    <t>USR_01052</t>
  </si>
  <si>
    <t>USR_01053</t>
  </si>
  <si>
    <t>USR_01054</t>
  </si>
  <si>
    <t>USR_01055</t>
  </si>
  <si>
    <t>USR_01056</t>
  </si>
  <si>
    <t>USR_01057</t>
  </si>
  <si>
    <t>USR_01058</t>
  </si>
  <si>
    <t>USR_01059</t>
  </si>
  <si>
    <t>USR_01060</t>
  </si>
  <si>
    <t>USR_01061</t>
  </si>
  <si>
    <t>USR_01062</t>
  </si>
  <si>
    <t>USR_01063</t>
  </si>
  <si>
    <t>USR_01064</t>
  </si>
  <si>
    <t>USR_01065</t>
  </si>
  <si>
    <t>USR_01066</t>
  </si>
  <si>
    <t>USR_01067</t>
  </si>
  <si>
    <t>USR_01068</t>
  </si>
  <si>
    <t>USR_01069</t>
  </si>
  <si>
    <t>USR_01070</t>
  </si>
  <si>
    <t>USR_01071</t>
  </si>
  <si>
    <t>USR_01072</t>
  </si>
  <si>
    <t>USR_01073</t>
  </si>
  <si>
    <t>USR_01074</t>
  </si>
  <si>
    <t>USR_01075</t>
  </si>
  <si>
    <t>USR_01076</t>
  </si>
  <si>
    <t>USR_01077</t>
  </si>
  <si>
    <t>USR_01078</t>
  </si>
  <si>
    <t>USR_01079</t>
  </si>
  <si>
    <t>USR_01080</t>
  </si>
  <si>
    <t>USR_01081</t>
  </si>
  <si>
    <t>USR_01082</t>
  </si>
  <si>
    <t>USR_01083</t>
  </si>
  <si>
    <t>USR_01084</t>
  </si>
  <si>
    <t>USR_01085</t>
  </si>
  <si>
    <t>USR_01086</t>
  </si>
  <si>
    <t>USR_01087</t>
  </si>
  <si>
    <t>USR_01088</t>
  </si>
  <si>
    <t>USR_01089</t>
  </si>
  <si>
    <t>USR_01090</t>
  </si>
  <si>
    <t>USR_01091</t>
  </si>
  <si>
    <t>USR_01092</t>
  </si>
  <si>
    <t>USR_01093</t>
  </si>
  <si>
    <t>USR_01094</t>
  </si>
  <si>
    <t>USR_01095</t>
  </si>
  <si>
    <t>USR_01096</t>
  </si>
  <si>
    <t>USR_01097</t>
  </si>
  <si>
    <t>USR_01098</t>
  </si>
  <si>
    <t>USR_01099</t>
  </si>
  <si>
    <t>USR_01100</t>
  </si>
  <si>
    <t>USR_01101</t>
  </si>
  <si>
    <t>USR_01102</t>
  </si>
  <si>
    <t>USR_01103</t>
  </si>
  <si>
    <t>USR_01104</t>
  </si>
  <si>
    <t>USR_01105</t>
  </si>
  <si>
    <t>USR_01106</t>
  </si>
  <si>
    <t>USR_01107</t>
  </si>
  <si>
    <t>USR_01108</t>
  </si>
  <si>
    <t>USR_01109</t>
  </si>
  <si>
    <t>USR_01110</t>
  </si>
  <si>
    <t>USR_01111</t>
  </si>
  <si>
    <t>USR_01112</t>
  </si>
  <si>
    <t>USR_01113</t>
  </si>
  <si>
    <t>USR_01114</t>
  </si>
  <si>
    <t>USR_01115</t>
  </si>
  <si>
    <t>USR_01116</t>
  </si>
  <si>
    <t>USR_01117</t>
  </si>
  <si>
    <t>USR_01118</t>
  </si>
  <si>
    <t>USR_01119</t>
  </si>
  <si>
    <t>USR_01120</t>
  </si>
  <si>
    <t>USR_01121</t>
  </si>
  <si>
    <t>USR_01122</t>
  </si>
  <si>
    <t>USR_01123</t>
  </si>
  <si>
    <t>USR_01124</t>
  </si>
  <si>
    <t>USR_01125</t>
  </si>
  <si>
    <t>USR_01126</t>
  </si>
  <si>
    <t>USR_01127</t>
  </si>
  <si>
    <t>USR_01128</t>
  </si>
  <si>
    <t>USR_01129</t>
  </si>
  <si>
    <t>USR_01130</t>
  </si>
  <si>
    <t>USR_01131</t>
  </si>
  <si>
    <t>USR_01132</t>
  </si>
  <si>
    <t>USR_01133</t>
  </si>
  <si>
    <t>USR_01134</t>
  </si>
  <si>
    <t>USR_01135</t>
  </si>
  <si>
    <t>USR_01136</t>
  </si>
  <si>
    <t>USR_01137</t>
  </si>
  <si>
    <t>USR_01138</t>
  </si>
  <si>
    <t>USR_01139</t>
  </si>
  <si>
    <t>USR_01140</t>
  </si>
  <si>
    <t>USR_01141</t>
  </si>
  <si>
    <t>USR_01142</t>
  </si>
  <si>
    <t>USR_01143</t>
  </si>
  <si>
    <t>USR_01144</t>
  </si>
  <si>
    <t>USR_01145</t>
  </si>
  <si>
    <t>USR_01146</t>
  </si>
  <si>
    <t>USR_01147</t>
  </si>
  <si>
    <t>USR_01148</t>
  </si>
  <si>
    <t>USR_01149</t>
  </si>
  <si>
    <t>USR_01150</t>
  </si>
  <si>
    <t>USR_01151</t>
  </si>
  <si>
    <t>USR_01152</t>
  </si>
  <si>
    <t>USR_01153</t>
  </si>
  <si>
    <t>USR_01154</t>
  </si>
  <si>
    <t>USR_01155</t>
  </si>
  <si>
    <t>USR_01156</t>
  </si>
  <si>
    <t>USR_01157</t>
  </si>
  <si>
    <t>USR_01158</t>
  </si>
  <si>
    <t>USR_01159</t>
  </si>
  <si>
    <t>USR_01160</t>
  </si>
  <si>
    <t>USR_01161</t>
  </si>
  <si>
    <t>USR_01162</t>
  </si>
  <si>
    <t>USR_01163</t>
  </si>
  <si>
    <t>USR_01164</t>
  </si>
  <si>
    <t>USR_01165</t>
  </si>
  <si>
    <t>USR_01166</t>
  </si>
  <si>
    <t>USR_01167</t>
  </si>
  <si>
    <t>USR_01168</t>
  </si>
  <si>
    <t>USR_01169</t>
  </si>
  <si>
    <t>USR_01170</t>
  </si>
  <si>
    <t>USR_01171</t>
  </si>
  <si>
    <t>USR_01172</t>
  </si>
  <si>
    <t>USR_01173</t>
  </si>
  <si>
    <t>USR_01174</t>
  </si>
  <si>
    <t>USR_01175</t>
  </si>
  <si>
    <t>USR_01176</t>
  </si>
  <si>
    <t>USR_01177</t>
  </si>
  <si>
    <t>USR_01178</t>
  </si>
  <si>
    <t>USR_01179</t>
  </si>
  <si>
    <t>USR_01180</t>
  </si>
  <si>
    <t>USR_01181</t>
  </si>
  <si>
    <t>USR_01182</t>
  </si>
  <si>
    <t>USR_01183</t>
  </si>
  <si>
    <t>USR_01184</t>
  </si>
  <si>
    <t>USR_01185</t>
  </si>
  <si>
    <t>USR_01186</t>
  </si>
  <si>
    <t>USR_01187</t>
  </si>
  <si>
    <t>USR_01188</t>
  </si>
  <si>
    <t>USR_01189</t>
  </si>
  <si>
    <t>USR_01190</t>
  </si>
  <si>
    <t>USR_01191</t>
  </si>
  <si>
    <t>USR_01192</t>
  </si>
  <si>
    <t>USR_01193</t>
  </si>
  <si>
    <t>USR_01194</t>
  </si>
  <si>
    <t>USR_01195</t>
  </si>
  <si>
    <t>USR_01196</t>
  </si>
  <si>
    <t>USR_01197</t>
  </si>
  <si>
    <t>USR_01198</t>
  </si>
  <si>
    <t>USR_01199</t>
  </si>
  <si>
    <t>USR_01200</t>
  </si>
  <si>
    <t>USR_01201</t>
  </si>
  <si>
    <t>USR_01202</t>
  </si>
  <si>
    <t>USR_01203</t>
  </si>
  <si>
    <t>USR_01204</t>
  </si>
  <si>
    <t>USR_01205</t>
  </si>
  <si>
    <t>USR_01206</t>
  </si>
  <si>
    <t>USR_01207</t>
  </si>
  <si>
    <t>USR_01208</t>
  </si>
  <si>
    <t>USR_01209</t>
  </si>
  <si>
    <t>USR_01210</t>
  </si>
  <si>
    <t>USR_01211</t>
  </si>
  <si>
    <t>USR_01212</t>
  </si>
  <si>
    <t>USR_01213</t>
  </si>
  <si>
    <t>USR_01214</t>
  </si>
  <si>
    <t>USR_01215</t>
  </si>
  <si>
    <t>USR_01216</t>
  </si>
  <si>
    <t>USR_01217</t>
  </si>
  <si>
    <t>USR_01218</t>
  </si>
  <si>
    <t>USR_01219</t>
  </si>
  <si>
    <t>USR_01220</t>
  </si>
  <si>
    <t>USR_01221</t>
  </si>
  <si>
    <t>USR_01222</t>
  </si>
  <si>
    <t>USR_01223</t>
  </si>
  <si>
    <t>USR_01224</t>
  </si>
  <si>
    <t>USR_01225</t>
  </si>
  <si>
    <t>USR_01226</t>
  </si>
  <si>
    <t>USR_01227</t>
  </si>
  <si>
    <t>USR_01228</t>
  </si>
  <si>
    <t>USR_01229</t>
  </si>
  <si>
    <t>USR_01230</t>
  </si>
  <si>
    <t>USR_01231</t>
  </si>
  <si>
    <t>USR_01232</t>
  </si>
  <si>
    <t>USR_01233</t>
  </si>
  <si>
    <t>USR_01234</t>
  </si>
  <si>
    <t>USR_01235</t>
  </si>
  <si>
    <t>USR_01236</t>
  </si>
  <si>
    <t>USR_01237</t>
  </si>
  <si>
    <t>USR_01238</t>
  </si>
  <si>
    <t>USR_01239</t>
  </si>
  <si>
    <t>USR_01240</t>
  </si>
  <si>
    <t>USR_01241</t>
  </si>
  <si>
    <t>USR_01242</t>
  </si>
  <si>
    <t>USR_01243</t>
  </si>
  <si>
    <t>USR_01244</t>
  </si>
  <si>
    <t>USR_01245</t>
  </si>
  <si>
    <t>USR_01246</t>
  </si>
  <si>
    <t>USR_01247</t>
  </si>
  <si>
    <t>USR_01248</t>
  </si>
  <si>
    <t>USR_01249</t>
  </si>
  <si>
    <t>USR_01250</t>
  </si>
  <si>
    <t>USR_01251</t>
  </si>
  <si>
    <t>USR_01252</t>
  </si>
  <si>
    <t>USR_01253</t>
  </si>
  <si>
    <t>USR_01254</t>
  </si>
  <si>
    <t>USR_01255</t>
  </si>
  <si>
    <t>USR_01256</t>
  </si>
  <si>
    <t>USR_01257</t>
  </si>
  <si>
    <t>USR_01258</t>
  </si>
  <si>
    <t>USR_01259</t>
  </si>
  <si>
    <t>USR_01260</t>
  </si>
  <si>
    <t>USR_01261</t>
  </si>
  <si>
    <t>USR_01262</t>
  </si>
  <si>
    <t>USR_01263</t>
  </si>
  <si>
    <t>USR_01264</t>
  </si>
  <si>
    <t>USR_01265</t>
  </si>
  <si>
    <t>USR_01266</t>
  </si>
  <si>
    <t>USR_01267</t>
  </si>
  <si>
    <t>USR_01268</t>
  </si>
  <si>
    <t>USR_01269</t>
  </si>
  <si>
    <t>USR_01270</t>
  </si>
  <si>
    <t>USR_01271</t>
  </si>
  <si>
    <t>USR_01272</t>
  </si>
  <si>
    <t>USR_01273</t>
  </si>
  <si>
    <t>USR_01274</t>
  </si>
  <si>
    <t>USR_01275</t>
  </si>
  <si>
    <t>USR_01276</t>
  </si>
  <si>
    <t>USR_01277</t>
  </si>
  <si>
    <t>USR_01278</t>
  </si>
  <si>
    <t>USR_01279</t>
  </si>
  <si>
    <t>USR_01280</t>
  </si>
  <si>
    <t>USR_01281</t>
  </si>
  <si>
    <t>USR_01282</t>
  </si>
  <si>
    <t>USR_01283</t>
  </si>
  <si>
    <t>USR_01284</t>
  </si>
  <si>
    <t>USR_01285</t>
  </si>
  <si>
    <t>USR_01286</t>
  </si>
  <si>
    <t>USR_01287</t>
  </si>
  <si>
    <t>USR_01288</t>
  </si>
  <si>
    <t>USR_01289</t>
  </si>
  <si>
    <t>USR_01290</t>
  </si>
  <si>
    <t>USR_01291</t>
  </si>
  <si>
    <t>USR_01292</t>
  </si>
  <si>
    <t>USR_01293</t>
  </si>
  <si>
    <t>USR_01294</t>
  </si>
  <si>
    <t>USR_01295</t>
  </si>
  <si>
    <t>USR_01296</t>
  </si>
  <si>
    <t>USR_01297</t>
  </si>
  <si>
    <t>USR_01298</t>
  </si>
  <si>
    <t>USR_01299</t>
  </si>
  <si>
    <t>USR_01300</t>
  </si>
  <si>
    <t>USR_01301</t>
  </si>
  <si>
    <t>USR_01302</t>
  </si>
  <si>
    <t>USR_01303</t>
  </si>
  <si>
    <t>USR_01304</t>
  </si>
  <si>
    <t>USR_01305</t>
  </si>
  <si>
    <t>USR_01306</t>
  </si>
  <si>
    <t>USR_01307</t>
  </si>
  <si>
    <t>USR_01308</t>
  </si>
  <si>
    <t>USR_01309</t>
  </si>
  <si>
    <t>USR_01310</t>
  </si>
  <si>
    <t>USR_01311</t>
  </si>
  <si>
    <t>USR_01312</t>
  </si>
  <si>
    <t>USR_01313</t>
  </si>
  <si>
    <t>USR_01314</t>
  </si>
  <si>
    <t>USR_01315</t>
  </si>
  <si>
    <t>USR_01316</t>
  </si>
  <si>
    <t>USR_01317</t>
  </si>
  <si>
    <t>USR_01318</t>
  </si>
  <si>
    <t>USR_01319</t>
  </si>
  <si>
    <t>USR_01320</t>
  </si>
  <si>
    <t>USR_01321</t>
  </si>
  <si>
    <t>USR_01322</t>
  </si>
  <si>
    <t>USR_01323</t>
  </si>
  <si>
    <t>USR_01324</t>
  </si>
  <si>
    <t>USR_01325</t>
  </si>
  <si>
    <t>USR_01326</t>
  </si>
  <si>
    <t>USR_01327</t>
  </si>
  <si>
    <t>USR_01328</t>
  </si>
  <si>
    <t>USR_01329</t>
  </si>
  <si>
    <t>USR_01330</t>
  </si>
  <si>
    <t>USR_01331</t>
  </si>
  <si>
    <t>USR_01332</t>
  </si>
  <si>
    <t>USR_01333</t>
  </si>
  <si>
    <t>USR_01334</t>
  </si>
  <si>
    <t>USR_01335</t>
  </si>
  <si>
    <t>USR_01336</t>
  </si>
  <si>
    <t>USR_01337</t>
  </si>
  <si>
    <t>USR_01338</t>
  </si>
  <si>
    <t>USR_01339</t>
  </si>
  <si>
    <t>USR_01340</t>
  </si>
  <si>
    <t>USR_01341</t>
  </si>
  <si>
    <t>USR_01342</t>
  </si>
  <si>
    <t>USR_01343</t>
  </si>
  <si>
    <t>USR_01344</t>
  </si>
  <si>
    <t>USR_01345</t>
  </si>
  <si>
    <t>USR_01346</t>
  </si>
  <si>
    <t>USR_01347</t>
  </si>
  <si>
    <t>USR_01348</t>
  </si>
  <si>
    <t>USR_01349</t>
  </si>
  <si>
    <t>USR_01350</t>
  </si>
  <si>
    <t>USR_01351</t>
  </si>
  <si>
    <t>USR_01352</t>
  </si>
  <si>
    <t>USR_01353</t>
  </si>
  <si>
    <t>USR_01354</t>
  </si>
  <si>
    <t>USR_01355</t>
  </si>
  <si>
    <t>USR_01356</t>
  </si>
  <si>
    <t>USR_01357</t>
  </si>
  <si>
    <t>USR_01358</t>
  </si>
  <si>
    <t>USR_01359</t>
  </si>
  <si>
    <t>USR_01360</t>
  </si>
  <si>
    <t>USR_01361</t>
  </si>
  <si>
    <t>USR_01362</t>
  </si>
  <si>
    <t>USR_01363</t>
  </si>
  <si>
    <t>USR_01364</t>
  </si>
  <si>
    <t>USR_01365</t>
  </si>
  <si>
    <t>USR_01366</t>
  </si>
  <si>
    <t>USR_01367</t>
  </si>
  <si>
    <t>USR_01368</t>
  </si>
  <si>
    <t>USR_01369</t>
  </si>
  <si>
    <t>USR_01370</t>
  </si>
  <si>
    <t>USR_01371</t>
  </si>
  <si>
    <t>USR_01372</t>
  </si>
  <si>
    <t>USR_01373</t>
  </si>
  <si>
    <t>USR_01374</t>
  </si>
  <si>
    <t>USR_01375</t>
  </si>
  <si>
    <t>USR_01376</t>
  </si>
  <si>
    <t>USR_01377</t>
  </si>
  <si>
    <t>USR_01378</t>
  </si>
  <si>
    <t>USR_01379</t>
  </si>
  <si>
    <t>USR_01380</t>
  </si>
  <si>
    <t>USR_01381</t>
  </si>
  <si>
    <t>USR_01382</t>
  </si>
  <si>
    <t>USR_01383</t>
  </si>
  <si>
    <t>USR_01384</t>
  </si>
  <si>
    <t>USR_01385</t>
  </si>
  <si>
    <t>USR_01386</t>
  </si>
  <si>
    <t>USR_01387</t>
  </si>
  <si>
    <t>USR_01388</t>
  </si>
  <si>
    <t>USR_01389</t>
  </si>
  <si>
    <t>USR_01390</t>
  </si>
  <si>
    <t>USR_01391</t>
  </si>
  <si>
    <t>USR_01392</t>
  </si>
  <si>
    <t>USR_01393</t>
  </si>
  <si>
    <t>USR_01394</t>
  </si>
  <si>
    <t>USR_01395</t>
  </si>
  <si>
    <t>USR_01396</t>
  </si>
  <si>
    <t>USR_01397</t>
  </si>
  <si>
    <t>USR_01398</t>
  </si>
  <si>
    <t>USR_01399</t>
  </si>
  <si>
    <t>USR_01400</t>
  </si>
  <si>
    <t>USR_01401</t>
  </si>
  <si>
    <t>USR_01402</t>
  </si>
  <si>
    <t>USR_01403</t>
  </si>
  <si>
    <t>USR_01404</t>
  </si>
  <si>
    <t>USR_01405</t>
  </si>
  <si>
    <t>USR_01406</t>
  </si>
  <si>
    <t>USR_01407</t>
  </si>
  <si>
    <t>USR_01408</t>
  </si>
  <si>
    <t>USR_01409</t>
  </si>
  <si>
    <t>USR_01410</t>
  </si>
  <si>
    <t>USR_01411</t>
  </si>
  <si>
    <t>USR_01412</t>
  </si>
  <si>
    <t>USR_01413</t>
  </si>
  <si>
    <t>USR_01414</t>
  </si>
  <si>
    <t>USR_01415</t>
  </si>
  <si>
    <t>USR_01416</t>
  </si>
  <si>
    <t>USR_01417</t>
  </si>
  <si>
    <t>USR_01418</t>
  </si>
  <si>
    <t>USR_01419</t>
  </si>
  <si>
    <t>USR_01420</t>
  </si>
  <si>
    <t>USR_01421</t>
  </si>
  <si>
    <t>USR_01422</t>
  </si>
  <si>
    <t>USR_01423</t>
  </si>
  <si>
    <t>USR_01424</t>
  </si>
  <si>
    <t>USR_01425</t>
  </si>
  <si>
    <t>USR_01426</t>
  </si>
  <si>
    <t>USR_01427</t>
  </si>
  <si>
    <t>USR_01428</t>
  </si>
  <si>
    <t>USR_01429</t>
  </si>
  <si>
    <t>USR_01430</t>
  </si>
  <si>
    <t>USR_01431</t>
  </si>
  <si>
    <t>USR_01432</t>
  </si>
  <si>
    <t>USR_01433</t>
  </si>
  <si>
    <t>USR_01434</t>
  </si>
  <si>
    <t>USR_01435</t>
  </si>
  <si>
    <t>USR_01436</t>
  </si>
  <si>
    <t>USR_01437</t>
  </si>
  <si>
    <t>USR_01438</t>
  </si>
  <si>
    <t>USR_01439</t>
  </si>
  <si>
    <t>USR_01440</t>
  </si>
  <si>
    <t>USR_01441</t>
  </si>
  <si>
    <t>USR_01442</t>
  </si>
  <si>
    <t>USR_01443</t>
  </si>
  <si>
    <t>USR_01444</t>
  </si>
  <si>
    <t>USR_01445</t>
  </si>
  <si>
    <t>USR_01446</t>
  </si>
  <si>
    <t>USR_01447</t>
  </si>
  <si>
    <t>USR_01448</t>
  </si>
  <si>
    <t>USR_01449</t>
  </si>
  <si>
    <t>USR_01450</t>
  </si>
  <si>
    <t>USR_01451</t>
  </si>
  <si>
    <t>USR_01452</t>
  </si>
  <si>
    <t>USR_01453</t>
  </si>
  <si>
    <t>USR_01454</t>
  </si>
  <si>
    <t>USR_01455</t>
  </si>
  <si>
    <t>USR_01456</t>
  </si>
  <si>
    <t>USR_01457</t>
  </si>
  <si>
    <t>USR_01458</t>
  </si>
  <si>
    <t>USR_01459</t>
  </si>
  <si>
    <t>USR_01460</t>
  </si>
  <si>
    <t>USR_01461</t>
  </si>
  <si>
    <t>USR_01462</t>
  </si>
  <si>
    <t>USR_01463</t>
  </si>
  <si>
    <t>USR_01464</t>
  </si>
  <si>
    <t>USR_01465</t>
  </si>
  <si>
    <t>USR_01466</t>
  </si>
  <si>
    <t>USR_01467</t>
  </si>
  <si>
    <t>USR_01468</t>
  </si>
  <si>
    <t>USR_01469</t>
  </si>
  <si>
    <t>USR_01470</t>
  </si>
  <si>
    <t>USR_01471</t>
  </si>
  <si>
    <t>USR_01472</t>
  </si>
  <si>
    <t>USR_01473</t>
  </si>
  <si>
    <t>USR_01474</t>
  </si>
  <si>
    <t>USR_01475</t>
  </si>
  <si>
    <t>USR_01476</t>
  </si>
  <si>
    <t>USR_01477</t>
  </si>
  <si>
    <t>USR_01478</t>
  </si>
  <si>
    <t>USR_01479</t>
  </si>
  <si>
    <t>USR_01480</t>
  </si>
  <si>
    <t>USR_01481</t>
  </si>
  <si>
    <t>USR_01482</t>
  </si>
  <si>
    <t>USR_01483</t>
  </si>
  <si>
    <t>USR_01484</t>
  </si>
  <si>
    <t>USR_01485</t>
  </si>
  <si>
    <t>USR_01486</t>
  </si>
  <si>
    <t>USR_01487</t>
  </si>
  <si>
    <t>USR_01488</t>
  </si>
  <si>
    <t>USR_01489</t>
  </si>
  <si>
    <t>USR_01490</t>
  </si>
  <si>
    <t>USR_01491</t>
  </si>
  <si>
    <t>USR_01492</t>
  </si>
  <si>
    <t>USR_01493</t>
  </si>
  <si>
    <t>USR_01494</t>
  </si>
  <si>
    <t>USR_01495</t>
  </si>
  <si>
    <t>USR_01496</t>
  </si>
  <si>
    <t>USR_01497</t>
  </si>
  <si>
    <t>USR_01498</t>
  </si>
  <si>
    <t>USR_01499</t>
  </si>
  <si>
    <t>USR_01500</t>
  </si>
  <si>
    <t>USR_01501</t>
  </si>
  <si>
    <t>USR_01502</t>
  </si>
  <si>
    <t>USR_01503</t>
  </si>
  <si>
    <t>USR_01504</t>
  </si>
  <si>
    <t>USR_01505</t>
  </si>
  <si>
    <t>USR_01506</t>
  </si>
  <si>
    <t>USR_01507</t>
  </si>
  <si>
    <t>USR_01508</t>
  </si>
  <si>
    <t>USR_01509</t>
  </si>
  <si>
    <t>USR_01510</t>
  </si>
  <si>
    <t>USR_01511</t>
  </si>
  <si>
    <t>USR_01512</t>
  </si>
  <si>
    <t>USR_01513</t>
  </si>
  <si>
    <t>USR_01514</t>
  </si>
  <si>
    <t>USR_01515</t>
  </si>
  <si>
    <t>USR_01516</t>
  </si>
  <si>
    <t>USR_01517</t>
  </si>
  <si>
    <t>USR_01518</t>
  </si>
  <si>
    <t>USR_01519</t>
  </si>
  <si>
    <t>USR_01520</t>
  </si>
  <si>
    <t>USR_01521</t>
  </si>
  <si>
    <t>USR_01522</t>
  </si>
  <si>
    <t>USR_01523</t>
  </si>
  <si>
    <t>USR_01524</t>
  </si>
  <si>
    <t>USR_01525</t>
  </si>
  <si>
    <t>USR_01526</t>
  </si>
  <si>
    <t>USR_01527</t>
  </si>
  <si>
    <t>USR_01528</t>
  </si>
  <si>
    <t>USR_01529</t>
  </si>
  <si>
    <t>USR_01530</t>
  </si>
  <si>
    <t>USR_01531</t>
  </si>
  <si>
    <t>USR_01532</t>
  </si>
  <si>
    <t>USR_01533</t>
  </si>
  <si>
    <t>USR_01534</t>
  </si>
  <si>
    <t>USR_01535</t>
  </si>
  <si>
    <t>USR_01536</t>
  </si>
  <si>
    <t>USR_01537</t>
  </si>
  <si>
    <t>USR_01538</t>
  </si>
  <si>
    <t>USR_01539</t>
  </si>
  <si>
    <t>USR_01540</t>
  </si>
  <si>
    <t>USR_01541</t>
  </si>
  <si>
    <t>USR_01542</t>
  </si>
  <si>
    <t>USR_01543</t>
  </si>
  <si>
    <t>USR_01544</t>
  </si>
  <si>
    <t>USR_01545</t>
  </si>
  <si>
    <t>USR_01546</t>
  </si>
  <si>
    <t>USR_01547</t>
  </si>
  <si>
    <t>USR_01548</t>
  </si>
  <si>
    <t>USR_01549</t>
  </si>
  <si>
    <t>USR_01550</t>
  </si>
  <si>
    <t>USR_01551</t>
  </si>
  <si>
    <t>USR_01552</t>
  </si>
  <si>
    <t>USR_01553</t>
  </si>
  <si>
    <t>USR_01554</t>
  </si>
  <si>
    <t>USR_01555</t>
  </si>
  <si>
    <t>USR_01556</t>
  </si>
  <si>
    <t>USR_01557</t>
  </si>
  <si>
    <t>USR_01558</t>
  </si>
  <si>
    <t>USR_01559</t>
  </si>
  <si>
    <t>USR_01560</t>
  </si>
  <si>
    <t>USR_01561</t>
  </si>
  <si>
    <t>USR_01562</t>
  </si>
  <si>
    <t>USR_01563</t>
  </si>
  <si>
    <t>USR_01564</t>
  </si>
  <si>
    <t>USR_01565</t>
  </si>
  <si>
    <t>USR_01566</t>
  </si>
  <si>
    <t>USR_01567</t>
  </si>
  <si>
    <t>USR_01568</t>
  </si>
  <si>
    <t>USR_01569</t>
  </si>
  <si>
    <t>USR_01570</t>
  </si>
  <si>
    <t>USR_01571</t>
  </si>
  <si>
    <t>USR_01572</t>
  </si>
  <si>
    <t>USR_01573</t>
  </si>
  <si>
    <t>USR_01574</t>
  </si>
  <si>
    <t>USR_01575</t>
  </si>
  <si>
    <t>USR_01576</t>
  </si>
  <si>
    <t>USR_01577</t>
  </si>
  <si>
    <t>USR_01578</t>
  </si>
  <si>
    <t>USR_01579</t>
  </si>
  <si>
    <t>USR_01580</t>
  </si>
  <si>
    <t>USR_01581</t>
  </si>
  <si>
    <t>USR_01582</t>
  </si>
  <si>
    <t>USR_01583</t>
  </si>
  <si>
    <t>USR_01584</t>
  </si>
  <si>
    <t>USR_01585</t>
  </si>
  <si>
    <t>USR_01586</t>
  </si>
  <si>
    <t>USR_01587</t>
  </si>
  <si>
    <t>USR_01588</t>
  </si>
  <si>
    <t>USR_01589</t>
  </si>
  <si>
    <t>USR_01590</t>
  </si>
  <si>
    <t>USR_01591</t>
  </si>
  <si>
    <t>USR_01592</t>
  </si>
  <si>
    <t>USR_01593</t>
  </si>
  <si>
    <t>USR_01594</t>
  </si>
  <si>
    <t>USR_01595</t>
  </si>
  <si>
    <t>USR_01596</t>
  </si>
  <si>
    <t>USR_01597</t>
  </si>
  <si>
    <t>USR_01598</t>
  </si>
  <si>
    <t>USR_01599</t>
  </si>
  <si>
    <t>USR_01600</t>
  </si>
  <si>
    <t>USR_01601</t>
  </si>
  <si>
    <t>USR_01602</t>
  </si>
  <si>
    <t>USR_01603</t>
  </si>
  <si>
    <t>USR_01604</t>
  </si>
  <si>
    <t>USR_01605</t>
  </si>
  <si>
    <t>USR_01606</t>
  </si>
  <si>
    <t>USR_01607</t>
  </si>
  <si>
    <t>USR_01608</t>
  </si>
  <si>
    <t>USR_01609</t>
  </si>
  <si>
    <t>USR_01610</t>
  </si>
  <si>
    <t>USR_01611</t>
  </si>
  <si>
    <t>USR_01612</t>
  </si>
  <si>
    <t>USR_01613</t>
  </si>
  <si>
    <t>USR_01614</t>
  </si>
  <si>
    <t>USR_01615</t>
  </si>
  <si>
    <t>USR_01616</t>
  </si>
  <si>
    <t>USR_01617</t>
  </si>
  <si>
    <t>USR_01618</t>
  </si>
  <si>
    <t>USR_01619</t>
  </si>
  <si>
    <t>USR_01620</t>
  </si>
  <si>
    <t>USR_01621</t>
  </si>
  <si>
    <t>USR_01622</t>
  </si>
  <si>
    <t>USR_01623</t>
  </si>
  <si>
    <t>USR_01624</t>
  </si>
  <si>
    <t>USR_01625</t>
  </si>
  <si>
    <t>USR_01626</t>
  </si>
  <si>
    <t>USR_01627</t>
  </si>
  <si>
    <t>USR_01628</t>
  </si>
  <si>
    <t>USR_01629</t>
  </si>
  <si>
    <t>USR_01630</t>
  </si>
  <si>
    <t>USR_01631</t>
  </si>
  <si>
    <t>USR_01632</t>
  </si>
  <si>
    <t>USR_01633</t>
  </si>
  <si>
    <t>USR_01634</t>
  </si>
  <si>
    <t>USR_01635</t>
  </si>
  <si>
    <t>USR_01636</t>
  </si>
  <si>
    <t>USR_01637</t>
  </si>
  <si>
    <t>USR_01638</t>
  </si>
  <si>
    <t>USR_01639</t>
  </si>
  <si>
    <t>USR_01640</t>
  </si>
  <si>
    <t>USR_01641</t>
  </si>
  <si>
    <t>USR_01642</t>
  </si>
  <si>
    <t>USR_01643</t>
  </si>
  <si>
    <t>USR_01644</t>
  </si>
  <si>
    <t>USR_01645</t>
  </si>
  <si>
    <t>USR_01646</t>
  </si>
  <si>
    <t>USR_01647</t>
  </si>
  <si>
    <t>USR_01648</t>
  </si>
  <si>
    <t>USR_01649</t>
  </si>
  <si>
    <t>USR_01650</t>
  </si>
  <si>
    <t>USR_01651</t>
  </si>
  <si>
    <t>USR_01652</t>
  </si>
  <si>
    <t>USR_01653</t>
  </si>
  <si>
    <t>USR_01654</t>
  </si>
  <si>
    <t>USR_01655</t>
  </si>
  <si>
    <t>USR_01656</t>
  </si>
  <si>
    <t>USR_01657</t>
  </si>
  <si>
    <t>USR_01658</t>
  </si>
  <si>
    <t>USR_01659</t>
  </si>
  <si>
    <t>USR_01660</t>
  </si>
  <si>
    <t>USR_01661</t>
  </si>
  <si>
    <t>USR_01662</t>
  </si>
  <si>
    <t>USR_01663</t>
  </si>
  <si>
    <t>USR_01664</t>
  </si>
  <si>
    <t>USR_01665</t>
  </si>
  <si>
    <t>USR_01666</t>
  </si>
  <si>
    <t>USR_01667</t>
  </si>
  <si>
    <t>USR_01668</t>
  </si>
  <si>
    <t>USR_01669</t>
  </si>
  <si>
    <t>USR_01670</t>
  </si>
  <si>
    <t>USR_01671</t>
  </si>
  <si>
    <t>USR_01672</t>
  </si>
  <si>
    <t>USR_01673</t>
  </si>
  <si>
    <t>USR_01674</t>
  </si>
  <si>
    <t>USR_01675</t>
  </si>
  <si>
    <t>USR_01676</t>
  </si>
  <si>
    <t>USR_01677</t>
  </si>
  <si>
    <t>USR_01678</t>
  </si>
  <si>
    <t>USR_01679</t>
  </si>
  <si>
    <t>USR_01680</t>
  </si>
  <si>
    <t>USR_01681</t>
  </si>
  <si>
    <t>USR_01682</t>
  </si>
  <si>
    <t>USR_01683</t>
  </si>
  <si>
    <t>USR_01684</t>
  </si>
  <si>
    <t>USR_01685</t>
  </si>
  <si>
    <t>USR_01686</t>
  </si>
  <si>
    <t>USR_01687</t>
  </si>
  <si>
    <t>USR_01688</t>
  </si>
  <si>
    <t>USR_01689</t>
  </si>
  <si>
    <t>USR_01690</t>
  </si>
  <si>
    <t>USR_01691</t>
  </si>
  <si>
    <t>USR_01692</t>
  </si>
  <si>
    <t>USR_01693</t>
  </si>
  <si>
    <t>USR_01694</t>
  </si>
  <si>
    <t>USR_01695</t>
  </si>
  <si>
    <t>USR_01696</t>
  </si>
  <si>
    <t>USR_01697</t>
  </si>
  <si>
    <t>USR_01698</t>
  </si>
  <si>
    <t>USR_01699</t>
  </si>
  <si>
    <t>USR_01700</t>
  </si>
  <si>
    <t>USR_01701</t>
  </si>
  <si>
    <t>USR_01702</t>
  </si>
  <si>
    <t>USR_01703</t>
  </si>
  <si>
    <t>USR_01704</t>
  </si>
  <si>
    <t>USR_01705</t>
  </si>
  <si>
    <t>USR_01706</t>
  </si>
  <si>
    <t>USR_01707</t>
  </si>
  <si>
    <t>USR_01708</t>
  </si>
  <si>
    <t>USR_01709</t>
  </si>
  <si>
    <t>USR_01710</t>
  </si>
  <si>
    <t>USR_01711</t>
  </si>
  <si>
    <t>USR_01712</t>
  </si>
  <si>
    <t>USR_01713</t>
  </si>
  <si>
    <t>USR_01714</t>
  </si>
  <si>
    <t>USR_01715</t>
  </si>
  <si>
    <t>USR_01716</t>
  </si>
  <si>
    <t>USR_01717</t>
  </si>
  <si>
    <t>USR_01718</t>
  </si>
  <si>
    <t>USR_01719</t>
  </si>
  <si>
    <t>USR_01720</t>
  </si>
  <si>
    <t>USR_01721</t>
  </si>
  <si>
    <t>USR_01722</t>
  </si>
  <si>
    <t>USR_01723</t>
  </si>
  <si>
    <t>USR_01724</t>
  </si>
  <si>
    <t>USR_01725</t>
  </si>
  <si>
    <t>USR_01726</t>
  </si>
  <si>
    <t>USR_01727</t>
  </si>
  <si>
    <t>USR_01728</t>
  </si>
  <si>
    <t>USR_01729</t>
  </si>
  <si>
    <t>USR_01730</t>
  </si>
  <si>
    <t>USR_01731</t>
  </si>
  <si>
    <t>USR_01732</t>
  </si>
  <si>
    <t>USR_01733</t>
  </si>
  <si>
    <t>USR_01734</t>
  </si>
  <si>
    <t>USR_01735</t>
  </si>
  <si>
    <t>USR_01736</t>
  </si>
  <si>
    <t>USR_01737</t>
  </si>
  <si>
    <t>USR_01738</t>
  </si>
  <si>
    <t>USR_01739</t>
  </si>
  <si>
    <t>USR_01740</t>
  </si>
  <si>
    <t>USR_01741</t>
  </si>
  <si>
    <t>USR_01742</t>
  </si>
  <si>
    <t>USR_01743</t>
  </si>
  <si>
    <t>USR_01744</t>
  </si>
  <si>
    <t>USR_01745</t>
  </si>
  <si>
    <t>USR_01746</t>
  </si>
  <si>
    <t>USR_01747</t>
  </si>
  <si>
    <t>USR_01748</t>
  </si>
  <si>
    <t>USR_01749</t>
  </si>
  <si>
    <t>USR_01750</t>
  </si>
  <si>
    <t>USR_01751</t>
  </si>
  <si>
    <t>USR_01752</t>
  </si>
  <si>
    <t>USR_01753</t>
  </si>
  <si>
    <t>USR_01754</t>
  </si>
  <si>
    <t>USR_01755</t>
  </si>
  <si>
    <t>USR_01756</t>
  </si>
  <si>
    <t>USR_01757</t>
  </si>
  <si>
    <t>USR_01758</t>
  </si>
  <si>
    <t>USR_01759</t>
  </si>
  <si>
    <t>USR_01760</t>
  </si>
  <si>
    <t>USR_01761</t>
  </si>
  <si>
    <t>USR_01762</t>
  </si>
  <si>
    <t>USR_01763</t>
  </si>
  <si>
    <t>USR_01764</t>
  </si>
  <si>
    <t>USR_01765</t>
  </si>
  <si>
    <t>USR_01766</t>
  </si>
  <si>
    <t>USR_01767</t>
  </si>
  <si>
    <t>USR_01768</t>
  </si>
  <si>
    <t>USR_01769</t>
  </si>
  <si>
    <t>USR_01770</t>
  </si>
  <si>
    <t>USR_01771</t>
  </si>
  <si>
    <t>USR_01772</t>
  </si>
  <si>
    <t>USR_01773</t>
  </si>
  <si>
    <t>USR_01774</t>
  </si>
  <si>
    <t>USR_01775</t>
  </si>
  <si>
    <t>USR_01776</t>
  </si>
  <si>
    <t>USR_01777</t>
  </si>
  <si>
    <t>USR_01778</t>
  </si>
  <si>
    <t>USR_01779</t>
  </si>
  <si>
    <t>USR_01780</t>
  </si>
  <si>
    <t>USR_01781</t>
  </si>
  <si>
    <t>USR_01782</t>
  </si>
  <si>
    <t>USR_01783</t>
  </si>
  <si>
    <t>USR_01784</t>
  </si>
  <si>
    <t>USR_01785</t>
  </si>
  <si>
    <t>USR_01786</t>
  </si>
  <si>
    <t>USR_01787</t>
  </si>
  <si>
    <t>USR_01788</t>
  </si>
  <si>
    <t>USR_01789</t>
  </si>
  <si>
    <t>USR_01790</t>
  </si>
  <si>
    <t>USR_01791</t>
  </si>
  <si>
    <t>USR_01792</t>
  </si>
  <si>
    <t>USR_01793</t>
  </si>
  <si>
    <t>USR_01794</t>
  </si>
  <si>
    <t>USR_01795</t>
  </si>
  <si>
    <t>USR_01796</t>
  </si>
  <si>
    <t>USR_01797</t>
  </si>
  <si>
    <t>USR_01798</t>
  </si>
  <si>
    <t>USR_01799</t>
  </si>
  <si>
    <t>USR_01800</t>
  </si>
  <si>
    <t>USR_01801</t>
  </si>
  <si>
    <t>USR_01802</t>
  </si>
  <si>
    <t>USR_01803</t>
  </si>
  <si>
    <t>USR_01804</t>
  </si>
  <si>
    <t>USR_01805</t>
  </si>
  <si>
    <t>USR_01806</t>
  </si>
  <si>
    <t>USR_01807</t>
  </si>
  <si>
    <t>USR_01808</t>
  </si>
  <si>
    <t>USR_01809</t>
  </si>
  <si>
    <t>USR_01810</t>
  </si>
  <si>
    <t>USR_01811</t>
  </si>
  <si>
    <t>USR_01812</t>
  </si>
  <si>
    <t>USR_01813</t>
  </si>
  <si>
    <t>USR_01814</t>
  </si>
  <si>
    <t>USR_01815</t>
  </si>
  <si>
    <t>USR_01816</t>
  </si>
  <si>
    <t>USR_01817</t>
  </si>
  <si>
    <t>USR_01818</t>
  </si>
  <si>
    <t>USR_01819</t>
  </si>
  <si>
    <t>USR_01820</t>
  </si>
  <si>
    <t>USR_01821</t>
  </si>
  <si>
    <t>USR_01822</t>
  </si>
  <si>
    <t>USR_01823</t>
  </si>
  <si>
    <t>USR_01824</t>
  </si>
  <si>
    <t>USR_01825</t>
  </si>
  <si>
    <t>USR_01826</t>
  </si>
  <si>
    <t>USR_01827</t>
  </si>
  <si>
    <t>USR_01828</t>
  </si>
  <si>
    <t>USR_01829</t>
  </si>
  <si>
    <t>USR_01830</t>
  </si>
  <si>
    <t>USR_01831</t>
  </si>
  <si>
    <t>USR_01832</t>
  </si>
  <si>
    <t>USR_01833</t>
  </si>
  <si>
    <t>USR_01834</t>
  </si>
  <si>
    <t>USR_01835</t>
  </si>
  <si>
    <t>USR_01836</t>
  </si>
  <si>
    <t>USR_01837</t>
  </si>
  <si>
    <t>USR_01838</t>
  </si>
  <si>
    <t>USR_01839</t>
  </si>
  <si>
    <t>USR_01840</t>
  </si>
  <si>
    <t>USR_01841</t>
  </si>
  <si>
    <t>USR_01842</t>
  </si>
  <si>
    <t>USR_01843</t>
  </si>
  <si>
    <t>USR_01844</t>
  </si>
  <si>
    <t>USR_01845</t>
  </si>
  <si>
    <t>USR_01846</t>
  </si>
  <si>
    <t>USR_01847</t>
  </si>
  <si>
    <t>USR_01848</t>
  </si>
  <si>
    <t>USR_01849</t>
  </si>
  <si>
    <t>USR_01850</t>
  </si>
  <si>
    <t>USR_01851</t>
  </si>
  <si>
    <t>USR_01852</t>
  </si>
  <si>
    <t>USR_01853</t>
  </si>
  <si>
    <t>USR_01854</t>
  </si>
  <si>
    <t>USR_01855</t>
  </si>
  <si>
    <t>USR_01856</t>
  </si>
  <si>
    <t>USR_01857</t>
  </si>
  <si>
    <t>USR_01858</t>
  </si>
  <si>
    <t>USR_01859</t>
  </si>
  <si>
    <t>USR_01860</t>
  </si>
  <si>
    <t>USR_01861</t>
  </si>
  <si>
    <t>USR_01862</t>
  </si>
  <si>
    <t>USR_01863</t>
  </si>
  <si>
    <t>USR_01864</t>
  </si>
  <si>
    <t>USR_01865</t>
  </si>
  <si>
    <t>USR_01866</t>
  </si>
  <si>
    <t>USR_01867</t>
  </si>
  <si>
    <t>USR_01868</t>
  </si>
  <si>
    <t>USR_01869</t>
  </si>
  <si>
    <t>USR_01870</t>
  </si>
  <si>
    <t>USR_01871</t>
  </si>
  <si>
    <t>USR_01872</t>
  </si>
  <si>
    <t>USR_01873</t>
  </si>
  <si>
    <t>USR_01874</t>
  </si>
  <si>
    <t>USR_01875</t>
  </si>
  <si>
    <t>USR_01876</t>
  </si>
  <si>
    <t>USR_01877</t>
  </si>
  <si>
    <t>USR_01878</t>
  </si>
  <si>
    <t>USR_01879</t>
  </si>
  <si>
    <t>USR_01880</t>
  </si>
  <si>
    <t>USR_01881</t>
  </si>
  <si>
    <t>USR_01882</t>
  </si>
  <si>
    <t>USR_01883</t>
  </si>
  <si>
    <t>USR_01884</t>
  </si>
  <si>
    <t>USR_01885</t>
  </si>
  <si>
    <t>USR_01886</t>
  </si>
  <si>
    <t>USR_01887</t>
  </si>
  <si>
    <t>USR_01888</t>
  </si>
  <si>
    <t>USR_01889</t>
  </si>
  <si>
    <t>USR_01890</t>
  </si>
  <si>
    <t>USR_01891</t>
  </si>
  <si>
    <t>USR_01892</t>
  </si>
  <si>
    <t>USR_01893</t>
  </si>
  <si>
    <t>USR_01894</t>
  </si>
  <si>
    <t>USR_01895</t>
  </si>
  <si>
    <t>USR_01896</t>
  </si>
  <si>
    <t>USR_01897</t>
  </si>
  <si>
    <t>USR_01898</t>
  </si>
  <si>
    <t>USR_01899</t>
  </si>
  <si>
    <t>USR_01900</t>
  </si>
  <si>
    <t>USR_01901</t>
  </si>
  <si>
    <t>USR_01902</t>
  </si>
  <si>
    <t>USR_01903</t>
  </si>
  <si>
    <t>USR_01904</t>
  </si>
  <si>
    <t>USR_01905</t>
  </si>
  <si>
    <t>USR_01906</t>
  </si>
  <si>
    <t>USR_01907</t>
  </si>
  <si>
    <t>USR_01908</t>
  </si>
  <si>
    <t>USR_01909</t>
  </si>
  <si>
    <t>USR_01910</t>
  </si>
  <si>
    <t>USR_01911</t>
  </si>
  <si>
    <t>USR_01912</t>
  </si>
  <si>
    <t>USR_01913</t>
  </si>
  <si>
    <t>USR_01914</t>
  </si>
  <si>
    <t>USR_01915</t>
  </si>
  <si>
    <t>USR_01916</t>
  </si>
  <si>
    <t>USR_01917</t>
  </si>
  <si>
    <t>USR_01918</t>
  </si>
  <si>
    <t>USR_01919</t>
  </si>
  <si>
    <t>USR_01920</t>
  </si>
  <si>
    <t>USR_01921</t>
  </si>
  <si>
    <t>USR_01922</t>
  </si>
  <si>
    <t>USR_01923</t>
  </si>
  <si>
    <t>USR_01924</t>
  </si>
  <si>
    <t>USR_01925</t>
  </si>
  <si>
    <t>USR_01926</t>
  </si>
  <si>
    <t>USR_01927</t>
  </si>
  <si>
    <t>USR_01928</t>
  </si>
  <si>
    <t>USR_01929</t>
  </si>
  <si>
    <t>USR_01930</t>
  </si>
  <si>
    <t>USR_01931</t>
  </si>
  <si>
    <t>USR_01932</t>
  </si>
  <si>
    <t>USR_01933</t>
  </si>
  <si>
    <t>USR_01934</t>
  </si>
  <si>
    <t>USR_01935</t>
  </si>
  <si>
    <t>USR_01936</t>
  </si>
  <si>
    <t>USR_01937</t>
  </si>
  <si>
    <t>USR_01938</t>
  </si>
  <si>
    <t>USR_01939</t>
  </si>
  <si>
    <t>USR_01940</t>
  </si>
  <si>
    <t>USR_01941</t>
  </si>
  <si>
    <t>USR_01942</t>
  </si>
  <si>
    <t>USR_01943</t>
  </si>
  <si>
    <t>USR_01944</t>
  </si>
  <si>
    <t>USR_01945</t>
  </si>
  <si>
    <t>USR_01946</t>
  </si>
  <si>
    <t>USR_01947</t>
  </si>
  <si>
    <t>USR_01948</t>
  </si>
  <si>
    <t>USR_01949</t>
  </si>
  <si>
    <t>USR_01950</t>
  </si>
  <si>
    <t>USR_01951</t>
  </si>
  <si>
    <t>USR_01952</t>
  </si>
  <si>
    <t>USR_01953</t>
  </si>
  <si>
    <t>USR_01954</t>
  </si>
  <si>
    <t>USR_01955</t>
  </si>
  <si>
    <t>USR_01956</t>
  </si>
  <si>
    <t>USR_01957</t>
  </si>
  <si>
    <t>USR_01958</t>
  </si>
  <si>
    <t>USR_01959</t>
  </si>
  <si>
    <t>USR_01960</t>
  </si>
  <si>
    <t>USR_01961</t>
  </si>
  <si>
    <t>USR_01962</t>
  </si>
  <si>
    <t>USR_01963</t>
  </si>
  <si>
    <t>USR_01964</t>
  </si>
  <si>
    <t>USR_01965</t>
  </si>
  <si>
    <t>USR_01966</t>
  </si>
  <si>
    <t>USR_01967</t>
  </si>
  <si>
    <t>USR_01968</t>
  </si>
  <si>
    <t>USR_01969</t>
  </si>
  <si>
    <t>USR_01970</t>
  </si>
  <si>
    <t>USR_01971</t>
  </si>
  <si>
    <t>USR_01972</t>
  </si>
  <si>
    <t>USR_01973</t>
  </si>
  <si>
    <t>USR_01974</t>
  </si>
  <si>
    <t>USR_01975</t>
  </si>
  <si>
    <t>USR_01976</t>
  </si>
  <si>
    <t>USR_01977</t>
  </si>
  <si>
    <t>USR_01978</t>
  </si>
  <si>
    <t>USR_01979</t>
  </si>
  <si>
    <t>USR_01980</t>
  </si>
  <si>
    <t>USR_01981</t>
  </si>
  <si>
    <t>USR_01982</t>
  </si>
  <si>
    <t>USR_01983</t>
  </si>
  <si>
    <t>USR_01984</t>
  </si>
  <si>
    <t>USR_01985</t>
  </si>
  <si>
    <t>USR_01986</t>
  </si>
  <si>
    <t>USR_01987</t>
  </si>
  <si>
    <t>USR_01988</t>
  </si>
  <si>
    <t>USR_01989</t>
  </si>
  <si>
    <t>USR_01990</t>
  </si>
  <si>
    <t>USR_01991</t>
  </si>
  <si>
    <t>USR_01992</t>
  </si>
  <si>
    <t>USR_01993</t>
  </si>
  <si>
    <t>USR_01994</t>
  </si>
  <si>
    <t>USR_01995</t>
  </si>
  <si>
    <t>USR_01996</t>
  </si>
  <si>
    <t>USR_01997</t>
  </si>
  <si>
    <t>USR_01998</t>
  </si>
  <si>
    <t>USR_01999</t>
  </si>
  <si>
    <t>USR_02000</t>
  </si>
  <si>
    <t>USR_02001</t>
  </si>
  <si>
    <t>USR_02002</t>
  </si>
  <si>
    <t>USR_02003</t>
  </si>
  <si>
    <t>USR_02004</t>
  </si>
  <si>
    <t>USR_02005</t>
  </si>
  <si>
    <t>USR_02006</t>
  </si>
  <si>
    <t>USR_02007</t>
  </si>
  <si>
    <t>USR_02008</t>
  </si>
  <si>
    <t>USR_02009</t>
  </si>
  <si>
    <t>USR_02010</t>
  </si>
  <si>
    <t>USR_02011</t>
  </si>
  <si>
    <t>USR_02012</t>
  </si>
  <si>
    <t>USR_02013</t>
  </si>
  <si>
    <t>USR_02014</t>
  </si>
  <si>
    <t>USR_02015</t>
  </si>
  <si>
    <t>USR_02016</t>
  </si>
  <si>
    <t>USR_02017</t>
  </si>
  <si>
    <t>USR_02018</t>
  </si>
  <si>
    <t>USR_02019</t>
  </si>
  <si>
    <t>USR_02020</t>
  </si>
  <si>
    <t>USR_02021</t>
  </si>
  <si>
    <t>USR_02022</t>
  </si>
  <si>
    <t>USR_02023</t>
  </si>
  <si>
    <t>USR_02024</t>
  </si>
  <si>
    <t>USR_02025</t>
  </si>
  <si>
    <t>USR_02026</t>
  </si>
  <si>
    <t>USR_02027</t>
  </si>
  <si>
    <t>USR_02028</t>
  </si>
  <si>
    <t>USR_02029</t>
  </si>
  <si>
    <t>USR_02030</t>
  </si>
  <si>
    <t>USR_02031</t>
  </si>
  <si>
    <t>USR_02032</t>
  </si>
  <si>
    <t>USR_02033</t>
  </si>
  <si>
    <t>USR_02034</t>
  </si>
  <si>
    <t>USR_02035</t>
  </si>
  <si>
    <t>USR_02036</t>
  </si>
  <si>
    <t>USR_02037</t>
  </si>
  <si>
    <t>USR_02038</t>
  </si>
  <si>
    <t>USR_02039</t>
  </si>
  <si>
    <t>USR_02040</t>
  </si>
  <si>
    <t>USR_02041</t>
  </si>
  <si>
    <t>USR_02042</t>
  </si>
  <si>
    <t>USR_02043</t>
  </si>
  <si>
    <t>USR_02044</t>
  </si>
  <si>
    <t>USR_02045</t>
  </si>
  <si>
    <t>USR_02046</t>
  </si>
  <si>
    <t>USR_02047</t>
  </si>
  <si>
    <t>USR_02048</t>
  </si>
  <si>
    <t>USR_02049</t>
  </si>
  <si>
    <t>USR_02050</t>
  </si>
  <si>
    <t>USR_02051</t>
  </si>
  <si>
    <t>USR_02052</t>
  </si>
  <si>
    <t>USR_02053</t>
  </si>
  <si>
    <t>USR_02054</t>
  </si>
  <si>
    <t>USR_02055</t>
  </si>
  <si>
    <t>USR_02056</t>
  </si>
  <si>
    <t>USR_02057</t>
  </si>
  <si>
    <t>USR_02058</t>
  </si>
  <si>
    <t>USR_02059</t>
  </si>
  <si>
    <t>USR_02060</t>
  </si>
  <si>
    <t>USR_02061</t>
  </si>
  <si>
    <t>USR_02062</t>
  </si>
  <si>
    <t>USR_02063</t>
  </si>
  <si>
    <t>USR_02064</t>
  </si>
  <si>
    <t>USR_02065</t>
  </si>
  <si>
    <t>USR_02066</t>
  </si>
  <si>
    <t>USR_02067</t>
  </si>
  <si>
    <t>USR_02068</t>
  </si>
  <si>
    <t>USR_02069</t>
  </si>
  <si>
    <t>USR_02070</t>
  </si>
  <si>
    <t>USR_02071</t>
  </si>
  <si>
    <t>USR_02072</t>
  </si>
  <si>
    <t>USR_02073</t>
  </si>
  <si>
    <t>USR_02074</t>
  </si>
  <si>
    <t>USR_02075</t>
  </si>
  <si>
    <t>USR_02076</t>
  </si>
  <si>
    <t>USR_02077</t>
  </si>
  <si>
    <t>USR_02078</t>
  </si>
  <si>
    <t>USR_02079</t>
  </si>
  <si>
    <t>USR_02080</t>
  </si>
  <si>
    <t>USR_02081</t>
  </si>
  <si>
    <t>USR_02082</t>
  </si>
  <si>
    <t>USR_02083</t>
  </si>
  <si>
    <t>USR_02084</t>
  </si>
  <si>
    <t>USR_02085</t>
  </si>
  <si>
    <t>USR_02086</t>
  </si>
  <si>
    <t>USR_02087</t>
  </si>
  <si>
    <t>USR_02088</t>
  </si>
  <si>
    <t>USR_02089</t>
  </si>
  <si>
    <t>USR_02090</t>
  </si>
  <si>
    <t>USR_02091</t>
  </si>
  <si>
    <t>USR_02092</t>
  </si>
  <si>
    <t>USR_02093</t>
  </si>
  <si>
    <t>USR_02094</t>
  </si>
  <si>
    <t>USR_02095</t>
  </si>
  <si>
    <t>USR_02096</t>
  </si>
  <si>
    <t>USR_02097</t>
  </si>
  <si>
    <t>USR_02098</t>
  </si>
  <si>
    <t>USR_02099</t>
  </si>
  <si>
    <t>USR_02100</t>
  </si>
  <si>
    <t>USR_02101</t>
  </si>
  <si>
    <t>USR_02102</t>
  </si>
  <si>
    <t>USR_02103</t>
  </si>
  <si>
    <t>USR_02104</t>
  </si>
  <si>
    <t>USR_02105</t>
  </si>
  <si>
    <t>USR_02106</t>
  </si>
  <si>
    <t>USR_02107</t>
  </si>
  <si>
    <t>USR_02108</t>
  </si>
  <si>
    <t>USR_02109</t>
  </si>
  <si>
    <t>USR_02110</t>
  </si>
  <si>
    <t>USR_02111</t>
  </si>
  <si>
    <t>USR_02112</t>
  </si>
  <si>
    <t>USR_02113</t>
  </si>
  <si>
    <t>USR_02114</t>
  </si>
  <si>
    <t>USR_02115</t>
  </si>
  <si>
    <t>USR_02116</t>
  </si>
  <si>
    <t>USR_02117</t>
  </si>
  <si>
    <t>USR_02118</t>
  </si>
  <si>
    <t>USR_02119</t>
  </si>
  <si>
    <t>USR_02120</t>
  </si>
  <si>
    <t>USR_02121</t>
  </si>
  <si>
    <t>USR_02122</t>
  </si>
  <si>
    <t>USR_02123</t>
  </si>
  <si>
    <t>USR_02124</t>
  </si>
  <si>
    <t>USR_02125</t>
  </si>
  <si>
    <t>USR_02126</t>
  </si>
  <si>
    <t>USR_02127</t>
  </si>
  <si>
    <t>USR_02128</t>
  </si>
  <si>
    <t>USR_02129</t>
  </si>
  <si>
    <t>USR_02130</t>
  </si>
  <si>
    <t>USR_02131</t>
  </si>
  <si>
    <t>USR_02132</t>
  </si>
  <si>
    <t>USR_02133</t>
  </si>
  <si>
    <t>USR_02134</t>
  </si>
  <si>
    <t>USR_02135</t>
  </si>
  <si>
    <t>USR_02136</t>
  </si>
  <si>
    <t>USR_02137</t>
  </si>
  <si>
    <t>USR_02138</t>
  </si>
  <si>
    <t>USR_02139</t>
  </si>
  <si>
    <t>USR_02140</t>
  </si>
  <si>
    <t>USR_02141</t>
  </si>
  <si>
    <t>USR_02142</t>
  </si>
  <si>
    <t>USR_02143</t>
  </si>
  <si>
    <t>USR_02144</t>
  </si>
  <si>
    <t>USR_02145</t>
  </si>
  <si>
    <t>USR_02146</t>
  </si>
  <si>
    <t>USR_02147</t>
  </si>
  <si>
    <t>USR_02148</t>
  </si>
  <si>
    <t>USR_02149</t>
  </si>
  <si>
    <t>USR_02150</t>
  </si>
  <si>
    <t>USR_02151</t>
  </si>
  <si>
    <t>USR_02152</t>
  </si>
  <si>
    <t>USR_02153</t>
  </si>
  <si>
    <t>USR_02154</t>
  </si>
  <si>
    <t>USR_02155</t>
  </si>
  <si>
    <t>USR_02156</t>
  </si>
  <si>
    <t>USR_02157</t>
  </si>
  <si>
    <t>USR_02158</t>
  </si>
  <si>
    <t>USR_02159</t>
  </si>
  <si>
    <t>USR_02160</t>
  </si>
  <si>
    <t>USR_02161</t>
  </si>
  <si>
    <t>USR_02162</t>
  </si>
  <si>
    <t>USR_02163</t>
  </si>
  <si>
    <t>USR_02164</t>
  </si>
  <si>
    <t>USR_02165</t>
  </si>
  <si>
    <t>USR_02166</t>
  </si>
  <si>
    <t>USR_02167</t>
  </si>
  <si>
    <t>USR_02168</t>
  </si>
  <si>
    <t>USR_02169</t>
  </si>
  <si>
    <t>USR_02170</t>
  </si>
  <si>
    <t>USR_02171</t>
  </si>
  <si>
    <t>USR_02172</t>
  </si>
  <si>
    <t>USR_02173</t>
  </si>
  <si>
    <t>USR_02174</t>
  </si>
  <si>
    <t>USR_02175</t>
  </si>
  <si>
    <t>USR_02176</t>
  </si>
  <si>
    <t>USR_02177</t>
  </si>
  <si>
    <t>USR_02178</t>
  </si>
  <si>
    <t>USR_02179</t>
  </si>
  <si>
    <t>USR_02180</t>
  </si>
  <si>
    <t>USR_02181</t>
  </si>
  <si>
    <t>USR_02182</t>
  </si>
  <si>
    <t>USR_02183</t>
  </si>
  <si>
    <t>USR_02184</t>
  </si>
  <si>
    <t>USR_02185</t>
  </si>
  <si>
    <t>USR_02186</t>
  </si>
  <si>
    <t>USR_02187</t>
  </si>
  <si>
    <t>USR_02188</t>
  </si>
  <si>
    <t>USR_02189</t>
  </si>
  <si>
    <t>USR_02190</t>
  </si>
  <si>
    <t>USR_02191</t>
  </si>
  <si>
    <t>USR_02192</t>
  </si>
  <si>
    <t>USR_02193</t>
  </si>
  <si>
    <t>USR_02194</t>
  </si>
  <si>
    <t>USR_02195</t>
  </si>
  <si>
    <t>USR_02196</t>
  </si>
  <si>
    <t>USR_02197</t>
  </si>
  <si>
    <t>USR_02198</t>
  </si>
  <si>
    <t>USR_02199</t>
  </si>
  <si>
    <t>USR_02200</t>
  </si>
  <si>
    <t>USR_02201</t>
  </si>
  <si>
    <t>USR_02202</t>
  </si>
  <si>
    <t>USR_02203</t>
  </si>
  <si>
    <t>USR_02204</t>
  </si>
  <si>
    <t>USR_02205</t>
  </si>
  <si>
    <t>USR_02206</t>
  </si>
  <si>
    <t>USR_02207</t>
  </si>
  <si>
    <t>USR_02208</t>
  </si>
  <si>
    <t>USR_02209</t>
  </si>
  <si>
    <t>USR_02210</t>
  </si>
  <si>
    <t>USR_02211</t>
  </si>
  <si>
    <t>USR_02212</t>
  </si>
  <si>
    <t>USR_02213</t>
  </si>
  <si>
    <t>USR_02214</t>
  </si>
  <si>
    <t>USR_02215</t>
  </si>
  <si>
    <t>USR_02216</t>
  </si>
  <si>
    <t>USR_02217</t>
  </si>
  <si>
    <t>USR_02218</t>
  </si>
  <si>
    <t>USR_02219</t>
  </si>
  <si>
    <t>USR_02220</t>
  </si>
  <si>
    <t>USR_02221</t>
  </si>
  <si>
    <t>USR_02222</t>
  </si>
  <si>
    <t>USR_02223</t>
  </si>
  <si>
    <t>USR_02224</t>
  </si>
  <si>
    <t>USR_02225</t>
  </si>
  <si>
    <t>USR_02226</t>
  </si>
  <si>
    <t>USR_02227</t>
  </si>
  <si>
    <t>USR_02228</t>
  </si>
  <si>
    <t>USR_02229</t>
  </si>
  <si>
    <t>USR_02230</t>
  </si>
  <si>
    <t>USR_02231</t>
  </si>
  <si>
    <t>USR_02232</t>
  </si>
  <si>
    <t>USR_02233</t>
  </si>
  <si>
    <t>USR_02234</t>
  </si>
  <si>
    <t>USR_02235</t>
  </si>
  <si>
    <t>USR_02236</t>
  </si>
  <si>
    <t>USR_02237</t>
  </si>
  <si>
    <t>USR_02238</t>
  </si>
  <si>
    <t>USR_02239</t>
  </si>
  <si>
    <t>USR_02240</t>
  </si>
  <si>
    <t>USR_02241</t>
  </si>
  <si>
    <t>USR_02242</t>
  </si>
  <si>
    <t>USR_02243</t>
  </si>
  <si>
    <t>USR_02244</t>
  </si>
  <si>
    <t>USR_02245</t>
  </si>
  <si>
    <t>USR_02246</t>
  </si>
  <si>
    <t>USR_02247</t>
  </si>
  <si>
    <t>USR_02248</t>
  </si>
  <si>
    <t>USR_02249</t>
  </si>
  <si>
    <t>USR_02250</t>
  </si>
  <si>
    <t>USR_02251</t>
  </si>
  <si>
    <t>USR_02252</t>
  </si>
  <si>
    <t>USR_02253</t>
  </si>
  <si>
    <t>USR_02254</t>
  </si>
  <si>
    <t>USR_02255</t>
  </si>
  <si>
    <t>USR_02256</t>
  </si>
  <si>
    <t>USR_02257</t>
  </si>
  <si>
    <t>USR_02258</t>
  </si>
  <si>
    <t>USR_02259</t>
  </si>
  <si>
    <t>USR_02260</t>
  </si>
  <si>
    <t>USR_02261</t>
  </si>
  <si>
    <t>USR_02262</t>
  </si>
  <si>
    <t>USR_02263</t>
  </si>
  <si>
    <t>USR_02264</t>
  </si>
  <si>
    <t>USR_02265</t>
  </si>
  <si>
    <t>USR_02266</t>
  </si>
  <si>
    <t>USR_02267</t>
  </si>
  <si>
    <t>USR_02268</t>
  </si>
  <si>
    <t>USR_02269</t>
  </si>
  <si>
    <t>USR_02270</t>
  </si>
  <si>
    <t>USR_02271</t>
  </si>
  <si>
    <t>USR_02272</t>
  </si>
  <si>
    <t>USR_02273</t>
  </si>
  <si>
    <t>USR_02274</t>
  </si>
  <si>
    <t>USR_02275</t>
  </si>
  <si>
    <t>USR_02276</t>
  </si>
  <si>
    <t>USR_02277</t>
  </si>
  <si>
    <t>USR_02278</t>
  </si>
  <si>
    <t>USR_02279</t>
  </si>
  <si>
    <t>USR_02280</t>
  </si>
  <si>
    <t>USR_02281</t>
  </si>
  <si>
    <t>USR_02282</t>
  </si>
  <si>
    <t>USR_02283</t>
  </si>
  <si>
    <t>USR_02284</t>
  </si>
  <si>
    <t>USR_02285</t>
  </si>
  <si>
    <t>USR_02286</t>
  </si>
  <si>
    <t>USR_02287</t>
  </si>
  <si>
    <t>USR_02288</t>
  </si>
  <si>
    <t>USR_02289</t>
  </si>
  <si>
    <t>USR_02290</t>
  </si>
  <si>
    <t>USR_02291</t>
  </si>
  <si>
    <t>USR_02292</t>
  </si>
  <si>
    <t>USR_02293</t>
  </si>
  <si>
    <t>USR_02294</t>
  </si>
  <si>
    <t>USR_02295</t>
  </si>
  <si>
    <t>USR_02296</t>
  </si>
  <si>
    <t>USR_02297</t>
  </si>
  <si>
    <t>USR_02298</t>
  </si>
  <si>
    <t>USR_02299</t>
  </si>
  <si>
    <t>USR_02300</t>
  </si>
  <si>
    <t>USR_02301</t>
  </si>
  <si>
    <t>USR_02302</t>
  </si>
  <si>
    <t>USR_02303</t>
  </si>
  <si>
    <t>USR_02304</t>
  </si>
  <si>
    <t>USR_02305</t>
  </si>
  <si>
    <t>USR_02306</t>
  </si>
  <si>
    <t>USR_02307</t>
  </si>
  <si>
    <t>USR_02308</t>
  </si>
  <si>
    <t>USR_02309</t>
  </si>
  <si>
    <t>USR_02310</t>
  </si>
  <si>
    <t>USR_02311</t>
  </si>
  <si>
    <t>USR_02312</t>
  </si>
  <si>
    <t>USR_02313</t>
  </si>
  <si>
    <t>USR_02314</t>
  </si>
  <si>
    <t>USR_02315</t>
  </si>
  <si>
    <t>USR_02316</t>
  </si>
  <si>
    <t>USR_02317</t>
  </si>
  <si>
    <t>USR_02318</t>
  </si>
  <si>
    <t>USR_02319</t>
  </si>
  <si>
    <t>USR_02320</t>
  </si>
  <si>
    <t>USR_02321</t>
  </si>
  <si>
    <t>USR_02322</t>
  </si>
  <si>
    <t>USR_02323</t>
  </si>
  <si>
    <t>USR_02324</t>
  </si>
  <si>
    <t>USR_02325</t>
  </si>
  <si>
    <t>USR_02326</t>
  </si>
  <si>
    <t>USR_02327</t>
  </si>
  <si>
    <t>USR_02328</t>
  </si>
  <si>
    <t>USR_02329</t>
  </si>
  <si>
    <t>USR_02330</t>
  </si>
  <si>
    <t>USR_02331</t>
  </si>
  <si>
    <t>USR_02332</t>
  </si>
  <si>
    <t>USR_02333</t>
  </si>
  <si>
    <t>USR_02334</t>
  </si>
  <si>
    <t>USR_02335</t>
  </si>
  <si>
    <t>USR_02336</t>
  </si>
  <si>
    <t>USR_02337</t>
  </si>
  <si>
    <t>USR_02338</t>
  </si>
  <si>
    <t>USR_02339</t>
  </si>
  <si>
    <t>USR_02340</t>
  </si>
  <si>
    <t>USR_02341</t>
  </si>
  <si>
    <t>USR_02342</t>
  </si>
  <si>
    <t>USR_02343</t>
  </si>
  <si>
    <t>USR_02344</t>
  </si>
  <si>
    <t>USR_02345</t>
  </si>
  <si>
    <t>USR_02346</t>
  </si>
  <si>
    <t>USR_02347</t>
  </si>
  <si>
    <t>USR_02348</t>
  </si>
  <si>
    <t>USR_02349</t>
  </si>
  <si>
    <t>USR_02350</t>
  </si>
  <si>
    <t>USR_02351</t>
  </si>
  <si>
    <t>USR_02352</t>
  </si>
  <si>
    <t>USR_02353</t>
  </si>
  <si>
    <t>USR_02354</t>
  </si>
  <si>
    <t>USR_02355</t>
  </si>
  <si>
    <t>USR_02356</t>
  </si>
  <si>
    <t>USR_02357</t>
  </si>
  <si>
    <t>USR_02358</t>
  </si>
  <si>
    <t>USR_02359</t>
  </si>
  <si>
    <t>USR_02360</t>
  </si>
  <si>
    <t>USR_02361</t>
  </si>
  <si>
    <t>USR_02362</t>
  </si>
  <si>
    <t>USR_02363</t>
  </si>
  <si>
    <t>USR_02364</t>
  </si>
  <si>
    <t>USR_02365</t>
  </si>
  <si>
    <t>USR_02366</t>
  </si>
  <si>
    <t>USR_02367</t>
  </si>
  <si>
    <t>USR_02368</t>
  </si>
  <si>
    <t>USR_02369</t>
  </si>
  <si>
    <t>USR_02370</t>
  </si>
  <si>
    <t>USR_02371</t>
  </si>
  <si>
    <t>USR_02372</t>
  </si>
  <si>
    <t>USR_02373</t>
  </si>
  <si>
    <t>USR_02374</t>
  </si>
  <si>
    <t>USR_02375</t>
  </si>
  <si>
    <t>USR_02376</t>
  </si>
  <si>
    <t>USR_02377</t>
  </si>
  <si>
    <t>USR_02378</t>
  </si>
  <si>
    <t>USR_02379</t>
  </si>
  <si>
    <t>USR_02380</t>
  </si>
  <si>
    <t>USR_02381</t>
  </si>
  <si>
    <t>USR_02382</t>
  </si>
  <si>
    <t>USR_02383</t>
  </si>
  <si>
    <t>USR_02384</t>
  </si>
  <si>
    <t>USR_02385</t>
  </si>
  <si>
    <t>USR_02386</t>
  </si>
  <si>
    <t>USR_02387</t>
  </si>
  <si>
    <t>USR_02388</t>
  </si>
  <si>
    <t>USR_02389</t>
  </si>
  <si>
    <t>USR_02390</t>
  </si>
  <si>
    <t>USR_02391</t>
  </si>
  <si>
    <t>USR_02392</t>
  </si>
  <si>
    <t>USR_02393</t>
  </si>
  <si>
    <t>USR_02394</t>
  </si>
  <si>
    <t>USR_02395</t>
  </si>
  <si>
    <t>USR_02396</t>
  </si>
  <si>
    <t>USR_02397</t>
  </si>
  <si>
    <t>USR_02398</t>
  </si>
  <si>
    <t>USR_02399</t>
  </si>
  <si>
    <t>USR_02400</t>
  </si>
  <si>
    <t>USR_02401</t>
  </si>
  <si>
    <t>USR_02402</t>
  </si>
  <si>
    <t>USR_02403</t>
  </si>
  <si>
    <t>USR_02404</t>
  </si>
  <si>
    <t>USR_02405</t>
  </si>
  <si>
    <t>USR_02406</t>
  </si>
  <si>
    <t>USR_02407</t>
  </si>
  <si>
    <t>USR_02408</t>
  </si>
  <si>
    <t>USR_02409</t>
  </si>
  <si>
    <t>USR_02410</t>
  </si>
  <si>
    <t>USR_02411</t>
  </si>
  <si>
    <t>USR_02412</t>
  </si>
  <si>
    <t>USR_02413</t>
  </si>
  <si>
    <t>USR_02414</t>
  </si>
  <si>
    <t>USR_02415</t>
  </si>
  <si>
    <t>USR_02416</t>
  </si>
  <si>
    <t>USR_02417</t>
  </si>
  <si>
    <t>USR_02418</t>
  </si>
  <si>
    <t>USR_02419</t>
  </si>
  <si>
    <t>USR_02420</t>
  </si>
  <si>
    <t>USR_02421</t>
  </si>
  <si>
    <t>USR_02422</t>
  </si>
  <si>
    <t>USR_02423</t>
  </si>
  <si>
    <t>USR_02424</t>
  </si>
  <si>
    <t>USR_02425</t>
  </si>
  <si>
    <t>USR_02426</t>
  </si>
  <si>
    <t>USR_02427</t>
  </si>
  <si>
    <t>USR_02428</t>
  </si>
  <si>
    <t>USR_02429</t>
  </si>
  <si>
    <t>USR_02430</t>
  </si>
  <si>
    <t>USR_02431</t>
  </si>
  <si>
    <t>USR_02432</t>
  </si>
  <si>
    <t>USR_02433</t>
  </si>
  <si>
    <t>USR_02434</t>
  </si>
  <si>
    <t>USR_02435</t>
  </si>
  <si>
    <t>USR_02436</t>
  </si>
  <si>
    <t>USR_02437</t>
  </si>
  <si>
    <t>USR_02438</t>
  </si>
  <si>
    <t>USR_02439</t>
  </si>
  <si>
    <t>USR_02440</t>
  </si>
  <si>
    <t>USR_02441</t>
  </si>
  <si>
    <t>USR_02442</t>
  </si>
  <si>
    <t>USR_02443</t>
  </si>
  <si>
    <t>USR_02444</t>
  </si>
  <si>
    <t>USR_02445</t>
  </si>
  <si>
    <t>USR_02446</t>
  </si>
  <si>
    <t>USR_02447</t>
  </si>
  <si>
    <t>USR_02448</t>
  </si>
  <si>
    <t>USR_02449</t>
  </si>
  <si>
    <t>USR_02450</t>
  </si>
  <si>
    <t>USR_02451</t>
  </si>
  <si>
    <t>USR_02452</t>
  </si>
  <si>
    <t>USR_02453</t>
  </si>
  <si>
    <t>USR_02454</t>
  </si>
  <si>
    <t>USR_02455</t>
  </si>
  <si>
    <t>USR_02456</t>
  </si>
  <si>
    <t>USR_02457</t>
  </si>
  <si>
    <t>USR_02458</t>
  </si>
  <si>
    <t>USR_02459</t>
  </si>
  <si>
    <t>USR_02460</t>
  </si>
  <si>
    <t>USR_02461</t>
  </si>
  <si>
    <t>USR_02462</t>
  </si>
  <si>
    <t>USR_02463</t>
  </si>
  <si>
    <t>USR_02464</t>
  </si>
  <si>
    <t>USR_02465</t>
  </si>
  <si>
    <t>USR_02466</t>
  </si>
  <si>
    <t>USR_02467</t>
  </si>
  <si>
    <t>USR_02468</t>
  </si>
  <si>
    <t>USR_02469</t>
  </si>
  <si>
    <t>USR_02470</t>
  </si>
  <si>
    <t>USR_02471</t>
  </si>
  <si>
    <t>USR_02472</t>
  </si>
  <si>
    <t>USR_02473</t>
  </si>
  <si>
    <t>USR_02474</t>
  </si>
  <si>
    <t>USR_02475</t>
  </si>
  <si>
    <t>USR_02476</t>
  </si>
  <si>
    <t>USR_02477</t>
  </si>
  <si>
    <t>USR_02478</t>
  </si>
  <si>
    <t>USR_02479</t>
  </si>
  <si>
    <t>USR_02480</t>
  </si>
  <si>
    <t>USR_02481</t>
  </si>
  <si>
    <t>USR_02482</t>
  </si>
  <si>
    <t>USR_02483</t>
  </si>
  <si>
    <t>USR_02484</t>
  </si>
  <si>
    <t>USR_02485</t>
  </si>
  <si>
    <t>USR_02486</t>
  </si>
  <si>
    <t>USR_02487</t>
  </si>
  <si>
    <t>USR_02488</t>
  </si>
  <si>
    <t>USR_02489</t>
  </si>
  <si>
    <t>USR_02490</t>
  </si>
  <si>
    <t>USR_02491</t>
  </si>
  <si>
    <t>USR_02492</t>
  </si>
  <si>
    <t>USR_02493</t>
  </si>
  <si>
    <t>USR_02494</t>
  </si>
  <si>
    <t>USR_02495</t>
  </si>
  <si>
    <t>USR_02496</t>
  </si>
  <si>
    <t>USR_02497</t>
  </si>
  <si>
    <t>USR_02498</t>
  </si>
  <si>
    <t>USR_02499</t>
  </si>
  <si>
    <t>USR_02500</t>
  </si>
  <si>
    <t>clean_test_group</t>
  </si>
  <si>
    <t>clean_device</t>
  </si>
  <si>
    <t>Row Labels</t>
  </si>
  <si>
    <t>Grand Total</t>
  </si>
  <si>
    <t>Count of user_id</t>
  </si>
  <si>
    <t>Sum of converted</t>
  </si>
  <si>
    <t>Average of converted2</t>
  </si>
  <si>
    <t>Sum of order_value_inr</t>
  </si>
  <si>
    <t>Column Labels</t>
  </si>
  <si>
    <t>Average of converted</t>
  </si>
  <si>
    <t>Metric</t>
  </si>
  <si>
    <t>Value</t>
  </si>
  <si>
    <t>Pooled Probability (p)</t>
  </si>
  <si>
    <t>Standard Error (SE)</t>
  </si>
  <si>
    <t>Z-Score</t>
  </si>
  <si>
    <t>P-Value</t>
  </si>
  <si>
    <t>EXECUTIVE EXPERIMENT DECISION MEMO</t>
  </si>
  <si>
    <t>Experiment Name</t>
  </si>
  <si>
    <t>One-Click Checkout Optimization (Variant B)</t>
  </si>
  <si>
    <t>Sample Size (N)</t>
  </si>
  <si>
    <t>Control CR (A)</t>
  </si>
  <si>
    <t>Variant CR (B)</t>
  </si>
  <si>
    <t>Absolute Lift</t>
  </si>
  <si>
    <t>Relative Lift</t>
  </si>
  <si>
    <t>Statistical Rigor</t>
  </si>
  <si>
    <t>Z = 2.53 | p = 0.011 (Significant at 95% CI)</t>
  </si>
  <si>
    <t>Guardrail Metric (AOV)</t>
  </si>
  <si>
    <t>A: ₹2,648.18 | B: ₹2,705.65 (Protected)</t>
  </si>
  <si>
    <r>
      <rPr>
        <b/>
        <sz val="11"/>
        <color theme="1"/>
        <rFont val="Calibri"/>
        <family val="2"/>
        <scheme val="minor"/>
      </rPr>
      <t xml:space="preserve">                 DECISION: 100% PRODUCTION ROLLOUT</t>
    </r>
    <r>
      <rPr>
        <sz val="11"/>
        <color theme="1"/>
        <rFont val="Calibri"/>
        <family val="2"/>
        <scheme val="minor"/>
      </rPr>
      <t xml:space="preserve">
Variant B delivers a statistically significant +3.6% conversion lift with zero cannibalization across customer segments (New, Returning, VIP) and stable AOV.</t>
    </r>
  </si>
  <si>
    <t>Sum of AOV_Calculated</t>
  </si>
  <si>
    <t>TOTAL TEST TRAFFIC</t>
  </si>
  <si>
    <t>Split: 49.3% A | 50.7% B</t>
  </si>
  <si>
    <t>CONTROL CR (GROUP A)</t>
  </si>
  <si>
    <t>AOV: ₹2,648.18</t>
  </si>
  <si>
    <t>VARIANT CR (GROUP B)</t>
  </si>
  <si>
    <t>AOV: ₹2,705.65</t>
  </si>
  <si>
    <t>CONVERSION LIFT</t>
  </si>
  <si>
    <t>p = 0.011 (WINNER: 98.8% CI)</t>
  </si>
  <si>
    <r>
      <rPr>
        <b/>
        <sz val="11"/>
        <color theme="1"/>
        <rFont val="Calibri"/>
        <family val="2"/>
        <scheme val="minor"/>
      </rPr>
      <t xml:space="preserve">DECISION: 100% PRODUCTION ROLLOUT                               </t>
    </r>
    <r>
      <rPr>
        <sz val="10"/>
        <color theme="1"/>
        <rFont val="Calibri"/>
        <family val="2"/>
        <scheme val="minor"/>
      </rPr>
      <t>Variant B delivers a statistically significant +3.6% conversion lift (p = 0.011) with zero cannibalization across customer cohorts and stable AOV (₹2,705 vs ₹2,648)</t>
    </r>
    <r>
      <rPr>
        <sz val="11"/>
        <color theme="1"/>
        <rFont val="Calibri"/>
        <family val="2"/>
        <scheme val="minor"/>
      </rPr>
      <t>.</t>
    </r>
  </si>
  <si>
    <t>E-COMMERCE CHECKOUT OPTIMIZATION — A/B TEST EXECUTIVE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</si>
</sst>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5">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ont>
    <font>
      <b/>
      <sz val="11"/>
      <color theme="2"/>
      <name val="Calibri"/>
      <family val="2"/>
      <scheme val="minor"/>
    </font>
    <font>
      <sz val="18"/>
      <color theme="0"/>
      <name val="Calibri"/>
      <family val="2"/>
      <scheme val="minor"/>
    </font>
    <font>
      <sz val="9"/>
      <color theme="1"/>
      <name val="Calibri"/>
      <family val="2"/>
      <scheme val="minor"/>
    </font>
    <font>
      <sz val="18"/>
      <color theme="1"/>
      <name val="Calibri"/>
      <family val="2"/>
      <scheme val="minor"/>
    </font>
    <font>
      <b/>
      <i/>
      <sz val="9"/>
      <color theme="1"/>
      <name val="Calibri"/>
      <family val="2"/>
      <scheme val="minor"/>
    </font>
    <font>
      <sz val="10"/>
      <color theme="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4"/>
        <bgColor indexed="64"/>
      </patternFill>
    </fill>
    <fill>
      <patternFill patternType="solid">
        <fgColor rgb="FF1F4E79"/>
        <bgColor indexed="64"/>
      </patternFill>
    </fill>
    <fill>
      <patternFill patternType="solid">
        <fgColor theme="0"/>
        <bgColor indexed="64"/>
      </patternFill>
    </fill>
    <fill>
      <patternFill patternType="solid">
        <fgColor theme="4" tint="0.59999389629810485"/>
        <bgColor indexed="64"/>
      </patternFill>
    </fill>
    <fill>
      <patternFill patternType="solid">
        <fgColor rgb="FFD4EDDA"/>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0">
    <xf numFmtId="0" fontId="0" fillId="0" borderId="0" xfId="0"/>
    <xf numFmtId="0" fontId="0" fillId="0" borderId="0" xfId="0" pivotButton="1"/>
    <xf numFmtId="0" fontId="0" fillId="0" borderId="0" xfId="0" applyAlignment="1">
      <alignment horizontal="left"/>
    </xf>
    <xf numFmtId="10" fontId="0" fillId="0" borderId="0" xfId="0" applyNumberFormat="1"/>
    <xf numFmtId="0" fontId="18" fillId="0" borderId="0" xfId="0" applyFont="1"/>
    <xf numFmtId="0" fontId="0" fillId="0" borderId="0" xfId="0" applyAlignment="1">
      <alignment wrapText="1"/>
    </xf>
    <xf numFmtId="0" fontId="0" fillId="33" borderId="10" xfId="0" applyFill="1" applyBorder="1"/>
    <xf numFmtId="10" fontId="0" fillId="33" borderId="10" xfId="0" applyNumberFormat="1" applyFill="1" applyBorder="1"/>
    <xf numFmtId="0" fontId="16" fillId="33" borderId="10" xfId="0" applyFont="1" applyFill="1" applyBorder="1"/>
    <xf numFmtId="164" fontId="0" fillId="0" borderId="0" xfId="0" applyNumberFormat="1"/>
    <xf numFmtId="0" fontId="0" fillId="36" borderId="0" xfId="0" applyFill="1"/>
    <xf numFmtId="0" fontId="0" fillId="0" borderId="0" xfId="0" applyAlignment="1">
      <alignment horizontal="center"/>
    </xf>
    <xf numFmtId="0" fontId="0" fillId="38" borderId="14" xfId="0" applyFill="1" applyBorder="1" applyAlignment="1">
      <alignment horizontal="center" vertical="top" wrapText="1"/>
    </xf>
    <xf numFmtId="0" fontId="0" fillId="38" borderId="13" xfId="0" applyFill="1" applyBorder="1" applyAlignment="1">
      <alignment horizontal="center" vertical="top" wrapText="1"/>
    </xf>
    <xf numFmtId="0" fontId="0" fillId="38" borderId="15" xfId="0" applyFill="1" applyBorder="1" applyAlignment="1">
      <alignment horizontal="center" vertical="top" wrapText="1"/>
    </xf>
    <xf numFmtId="0" fontId="0" fillId="38" borderId="12" xfId="0" applyFill="1" applyBorder="1" applyAlignment="1">
      <alignment horizontal="center" vertical="top" wrapText="1"/>
    </xf>
    <xf numFmtId="0" fontId="0" fillId="38" borderId="16" xfId="0" applyFill="1" applyBorder="1" applyAlignment="1">
      <alignment horizontal="center" vertical="top" wrapText="1"/>
    </xf>
    <xf numFmtId="0" fontId="0" fillId="38" borderId="11" xfId="0" applyFill="1" applyBorder="1" applyAlignment="1">
      <alignment horizontal="center" vertical="top" wrapText="1"/>
    </xf>
    <xf numFmtId="0" fontId="20" fillId="35" borderId="0" xfId="0" applyFont="1" applyFill="1" applyAlignment="1">
      <alignment horizontal="center" vertical="center"/>
    </xf>
    <xf numFmtId="0" fontId="23" fillId="37" borderId="14" xfId="0" applyFont="1" applyFill="1" applyBorder="1" applyAlignment="1">
      <alignment horizontal="center"/>
    </xf>
    <xf numFmtId="0" fontId="23" fillId="37" borderId="13" xfId="0" applyFont="1" applyFill="1" applyBorder="1" applyAlignment="1">
      <alignment horizontal="center"/>
    </xf>
    <xf numFmtId="0" fontId="22" fillId="37" borderId="15" xfId="0" applyFont="1" applyFill="1" applyBorder="1" applyAlignment="1">
      <alignment horizontal="center"/>
    </xf>
    <xf numFmtId="0" fontId="22" fillId="37" borderId="12" xfId="0" applyFont="1" applyFill="1" applyBorder="1" applyAlignment="1">
      <alignment horizontal="center"/>
    </xf>
    <xf numFmtId="0" fontId="16" fillId="37" borderId="16" xfId="0" applyFont="1" applyFill="1" applyBorder="1" applyAlignment="1">
      <alignment horizontal="center"/>
    </xf>
    <xf numFmtId="0" fontId="16" fillId="37" borderId="11" xfId="0" applyFont="1" applyFill="1" applyBorder="1" applyAlignment="1">
      <alignment horizontal="center"/>
    </xf>
    <xf numFmtId="0" fontId="21" fillId="37" borderId="13" xfId="0" applyFont="1" applyFill="1" applyBorder="1" applyAlignment="1">
      <alignment horizontal="center"/>
    </xf>
    <xf numFmtId="10" fontId="22" fillId="37" borderId="15" xfId="0" applyNumberFormat="1" applyFont="1" applyFill="1" applyBorder="1" applyAlignment="1">
      <alignment horizontal="center"/>
    </xf>
    <xf numFmtId="0" fontId="0" fillId="37" borderId="11" xfId="0" applyFill="1" applyBorder="1" applyAlignment="1">
      <alignment horizontal="center"/>
    </xf>
    <xf numFmtId="10" fontId="22" fillId="37" borderId="12" xfId="0" applyNumberFormat="1" applyFont="1" applyFill="1" applyBorder="1" applyAlignment="1">
      <alignment horizontal="center"/>
    </xf>
    <xf numFmtId="0" fontId="23" fillId="38" borderId="14" xfId="0" applyFont="1" applyFill="1" applyBorder="1" applyAlignment="1">
      <alignment horizontal="center"/>
    </xf>
    <xf numFmtId="0" fontId="21" fillId="38" borderId="13" xfId="0" applyFont="1" applyFill="1" applyBorder="1" applyAlignment="1">
      <alignment horizontal="center"/>
    </xf>
    <xf numFmtId="10" fontId="22" fillId="38" borderId="15" xfId="0" applyNumberFormat="1" applyFont="1" applyFill="1" applyBorder="1" applyAlignment="1">
      <alignment horizontal="center"/>
    </xf>
    <xf numFmtId="0" fontId="22" fillId="38" borderId="12" xfId="0" applyFont="1" applyFill="1" applyBorder="1" applyAlignment="1">
      <alignment horizontal="center"/>
    </xf>
    <xf numFmtId="0" fontId="16" fillId="38" borderId="16" xfId="0" applyFont="1" applyFill="1" applyBorder="1" applyAlignment="1">
      <alignment horizontal="center"/>
    </xf>
    <xf numFmtId="0" fontId="16" fillId="38" borderId="11" xfId="0" applyFont="1" applyFill="1" applyBorder="1" applyAlignment="1">
      <alignment horizontal="center"/>
    </xf>
    <xf numFmtId="0" fontId="0" fillId="0" borderId="0" xfId="0"/>
    <xf numFmtId="0" fontId="0" fillId="33" borderId="0" xfId="0" applyFill="1" applyAlignment="1">
      <alignment wrapText="1"/>
    </xf>
    <xf numFmtId="0" fontId="0" fillId="33" borderId="0" xfId="0" applyFill="1"/>
    <xf numFmtId="0" fontId="19" fillId="34" borderId="10" xfId="0" applyFont="1" applyFill="1" applyBorder="1" applyAlignment="1">
      <alignment horizontal="center"/>
    </xf>
    <xf numFmtId="0" fontId="0" fillId="34" borderId="10"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64" formatCode="&quot;₹&quot;\ #,##0.00"/>
    </dxf>
    <dxf>
      <numFmt numFmtId="164" formatCode="&quot;₹&quot;\ #,##0.00"/>
    </dxf>
    <dxf>
      <numFmt numFmtId="164" formatCode="&quot;₹&quot;\ #,##0.00"/>
    </dxf>
    <dxf>
      <numFmt numFmtId="164" formatCode="&quot;₹&quot;\ #,##0.00"/>
    </dxf>
    <dxf>
      <numFmt numFmtId="14" formatCode="0.00%"/>
    </dxf>
    <dxf>
      <numFmt numFmtId="14" formatCode="0.00%"/>
    </dxf>
    <dxf>
      <numFmt numFmtId="14" formatCode="0.00%"/>
    </dxf>
    <dxf>
      <numFmt numFmtId="14" formatCode="0.00%"/>
    </dxf>
  </dxfs>
  <tableStyles count="0" defaultTableStyle="TableStyleMedium2" defaultPivotStyle="PivotStyleLight16"/>
  <colors>
    <mruColors>
      <color rgb="FFF4F6F9"/>
      <color rgb="FFD4EDDA"/>
      <color rgb="FF88B6E0"/>
      <color rgb="FF1F4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[Ecommerce_Checkout_AB_Test_Analysis.xlsx]AB_Summary!PivotTable3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002060"/>
                </a:solidFill>
              </a:rPr>
              <a:t>Conversion Rate by Customer Segment (Control vs Variant)</a:t>
            </a:r>
            <a:endParaRPr lang="en-IN" b="1">
              <a:solidFill>
                <a:srgbClr val="002060"/>
              </a:solidFill>
            </a:endParaRPr>
          </a:p>
        </c:rich>
      </c:tx>
      <c:layout>
        <c:manualLayout>
          <c:xMode val="edge"/>
          <c:yMode val="edge"/>
          <c:x val="0.12558644478436284"/>
          <c:y val="3.54245406824146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8B6E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a:outerShdw blurRad="50800" dist="50800" dir="5400000" algn="ctr" rotWithShape="0">
              <a:schemeClr val="bg2"/>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8B6E0"/>
          </a:solidFill>
          <a:ln>
            <a:noFill/>
          </a:ln>
          <a:effectLst/>
        </c:spPr>
        <c:dLbl>
          <c:idx val="0"/>
          <c:layout>
            <c:manualLayout>
              <c:x val="-1.808785529715771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88B6E0"/>
          </a:solidFill>
          <a:ln>
            <a:noFill/>
          </a:ln>
          <a:effectLst/>
        </c:spPr>
        <c:dLbl>
          <c:idx val="0"/>
          <c:layout>
            <c:manualLayout>
              <c:x val="-2.58397932816537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AB_Summary!$B$10:$B$11</c:f>
              <c:strCache>
                <c:ptCount val="1"/>
                <c:pt idx="0">
                  <c:v>A</c:v>
                </c:pt>
              </c:strCache>
            </c:strRef>
          </c:tx>
          <c:spPr>
            <a:solidFill>
              <a:srgbClr val="88B6E0"/>
            </a:solidFill>
            <a:ln>
              <a:noFill/>
            </a:ln>
            <a:effectLst/>
          </c:spPr>
          <c:invertIfNegative val="0"/>
          <c:dPt>
            <c:idx val="0"/>
            <c:invertIfNegative val="0"/>
            <c:bubble3D val="0"/>
            <c:spPr>
              <a:solidFill>
                <a:srgbClr val="88B6E0"/>
              </a:solidFill>
              <a:ln>
                <a:noFill/>
              </a:ln>
              <a:effectLst/>
            </c:spPr>
            <c:extLst>
              <c:ext xmlns:c16="http://schemas.microsoft.com/office/drawing/2014/chart" uri="{C3380CC4-5D6E-409C-BE32-E72D297353CC}">
                <c16:uniqueId val="{00000003-D836-4540-9484-BC586AC624D5}"/>
              </c:ext>
            </c:extLst>
          </c:dPt>
          <c:dPt>
            <c:idx val="2"/>
            <c:invertIfNegative val="0"/>
            <c:bubble3D val="0"/>
            <c:spPr>
              <a:solidFill>
                <a:srgbClr val="88B6E0"/>
              </a:solidFill>
              <a:ln>
                <a:noFill/>
              </a:ln>
              <a:effectLst/>
            </c:spPr>
            <c:extLst>
              <c:ext xmlns:c16="http://schemas.microsoft.com/office/drawing/2014/chart" uri="{C3380CC4-5D6E-409C-BE32-E72D297353CC}">
                <c16:uniqueId val="{00000002-D836-4540-9484-BC586AC624D5}"/>
              </c:ext>
            </c:extLst>
          </c:dPt>
          <c:dLbls>
            <c:dLbl>
              <c:idx val="0"/>
              <c:layout>
                <c:manualLayout>
                  <c:x val="-2.58397932816537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836-4540-9484-BC586AC624D5}"/>
                </c:ext>
              </c:extLst>
            </c:dLbl>
            <c:dLbl>
              <c:idx val="2"/>
              <c:layout>
                <c:manualLayout>
                  <c:x val="-1.808785529715771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836-4540-9484-BC586AC624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AB_Summary!$A$12:$A$16</c:f>
              <c:strCache>
                <c:ptCount val="4"/>
                <c:pt idx="0">
                  <c:v>New</c:v>
                </c:pt>
                <c:pt idx="1">
                  <c:v>Returning</c:v>
                </c:pt>
                <c:pt idx="2">
                  <c:v>Unknown</c:v>
                </c:pt>
                <c:pt idx="3">
                  <c:v>VIP</c:v>
                </c:pt>
              </c:strCache>
            </c:strRef>
          </c:cat>
          <c:val>
            <c:numRef>
              <c:f>AB_Summary!$B$12:$B$16</c:f>
              <c:numCache>
                <c:formatCode>0.00%</c:formatCode>
                <c:ptCount val="4"/>
                <c:pt idx="0">
                  <c:v>0.10564663023679417</c:v>
                </c:pt>
                <c:pt idx="1">
                  <c:v>0.12039312039312039</c:v>
                </c:pt>
                <c:pt idx="2">
                  <c:v>0.11881188118811881</c:v>
                </c:pt>
                <c:pt idx="3">
                  <c:v>0.23529411764705882</c:v>
                </c:pt>
              </c:numCache>
            </c:numRef>
          </c:val>
          <c:extLst>
            <c:ext xmlns:c16="http://schemas.microsoft.com/office/drawing/2014/chart" uri="{C3380CC4-5D6E-409C-BE32-E72D297353CC}">
              <c16:uniqueId val="{00000000-D836-4540-9484-BC586AC624D5}"/>
            </c:ext>
          </c:extLst>
        </c:ser>
        <c:ser>
          <c:idx val="1"/>
          <c:order val="1"/>
          <c:tx>
            <c:strRef>
              <c:f>AB_Summary!$C$10:$C$11</c:f>
              <c:strCache>
                <c:ptCount val="1"/>
                <c:pt idx="0">
                  <c:v>B</c:v>
                </c:pt>
              </c:strCache>
            </c:strRef>
          </c:tx>
          <c:spPr>
            <a:solidFill>
              <a:srgbClr val="002060"/>
            </a:solidFill>
            <a:ln>
              <a:noFill/>
            </a:ln>
            <a:effectLst>
              <a:outerShdw blurRad="50800" dist="50800" dir="5400000" algn="ctr" rotWithShape="0">
                <a:schemeClr val="bg2"/>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AB_Summary!$A$12:$A$16</c:f>
              <c:strCache>
                <c:ptCount val="4"/>
                <c:pt idx="0">
                  <c:v>New</c:v>
                </c:pt>
                <c:pt idx="1">
                  <c:v>Returning</c:v>
                </c:pt>
                <c:pt idx="2">
                  <c:v>Unknown</c:v>
                </c:pt>
                <c:pt idx="3">
                  <c:v>VIP</c:v>
                </c:pt>
              </c:strCache>
            </c:strRef>
          </c:cat>
          <c:val>
            <c:numRef>
              <c:f>AB_Summary!$C$12:$C$16</c:f>
              <c:numCache>
                <c:formatCode>0.00%</c:formatCode>
                <c:ptCount val="4"/>
                <c:pt idx="0">
                  <c:v>0.13533834586466165</c:v>
                </c:pt>
                <c:pt idx="1">
                  <c:v>0.16166281755196305</c:v>
                </c:pt>
                <c:pt idx="2">
                  <c:v>0.11320754716981132</c:v>
                </c:pt>
                <c:pt idx="3">
                  <c:v>0.2879581151832461</c:v>
                </c:pt>
              </c:numCache>
            </c:numRef>
          </c:val>
          <c:extLst>
            <c:ext xmlns:c16="http://schemas.microsoft.com/office/drawing/2014/chart" uri="{C3380CC4-5D6E-409C-BE32-E72D297353CC}">
              <c16:uniqueId val="{00000001-D836-4540-9484-BC586AC624D5}"/>
            </c:ext>
          </c:extLst>
        </c:ser>
        <c:dLbls>
          <c:dLblPos val="outEnd"/>
          <c:showLegendKey val="0"/>
          <c:showVal val="1"/>
          <c:showCatName val="0"/>
          <c:showSerName val="0"/>
          <c:showPercent val="0"/>
          <c:showBubbleSize val="0"/>
        </c:dLbls>
        <c:gapWidth val="219"/>
        <c:overlap val="-27"/>
        <c:axId val="1980262752"/>
        <c:axId val="2069943504"/>
      </c:barChart>
      <c:catAx>
        <c:axId val="1980262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943504"/>
        <c:crosses val="autoZero"/>
        <c:auto val="1"/>
        <c:lblAlgn val="ctr"/>
        <c:lblOffset val="100"/>
        <c:noMultiLvlLbl val="0"/>
      </c:catAx>
      <c:valAx>
        <c:axId val="2069943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262752"/>
        <c:crosses val="autoZero"/>
        <c:crossBetween val="between"/>
      </c:valAx>
      <c:spPr>
        <a:noFill/>
        <a:ln>
          <a:noFill/>
        </a:ln>
        <a:effectLst/>
      </c:spPr>
    </c:plotArea>
    <c:legend>
      <c:legendPos val="r"/>
      <c:layout>
        <c:manualLayout>
          <c:xMode val="edge"/>
          <c:yMode val="edge"/>
          <c:x val="0.92373634195334453"/>
          <c:y val="0.48211877927023827"/>
          <c:w val="6.3225848398676371E-2"/>
          <c:h val="0.213586536976995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8</xdr:row>
      <xdr:rowOff>0</xdr:rowOff>
    </xdr:from>
    <xdr:to>
      <xdr:col>9</xdr:col>
      <xdr:colOff>205740</xdr:colOff>
      <xdr:row>22</xdr:row>
      <xdr:rowOff>160020</xdr:rowOff>
    </xdr:to>
    <xdr:graphicFrame macro="">
      <xdr:nvGraphicFramePr>
        <xdr:cNvPr id="2" name="Chart 1">
          <a:extLst>
            <a:ext uri="{FF2B5EF4-FFF2-40B4-BE49-F238E27FC236}">
              <a16:creationId xmlns:a16="http://schemas.microsoft.com/office/drawing/2014/main" id="{CBA75CAC-DE6F-4F1D-B2D6-F5DFABC76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350520</xdr:colOff>
      <xdr:row>7</xdr:row>
      <xdr:rowOff>144780</xdr:rowOff>
    </xdr:from>
    <xdr:to>
      <xdr:col>12</xdr:col>
      <xdr:colOff>0</xdr:colOff>
      <xdr:row>14</xdr:row>
      <xdr:rowOff>45720</xdr:rowOff>
    </xdr:to>
    <mc:AlternateContent xmlns:mc="http://schemas.openxmlformats.org/markup-compatibility/2006" xmlns:a14="http://schemas.microsoft.com/office/drawing/2010/main">
      <mc:Choice Requires="a14">
        <xdr:graphicFrame macro="">
          <xdr:nvGraphicFramePr>
            <xdr:cNvPr id="4" name="clean_device">
              <a:extLst>
                <a:ext uri="{FF2B5EF4-FFF2-40B4-BE49-F238E27FC236}">
                  <a16:creationId xmlns:a16="http://schemas.microsoft.com/office/drawing/2014/main" id="{74792C37-F904-F694-DC6B-291B8FF1EA6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lean_device"/>
            </a:graphicData>
          </a:graphic>
        </xdr:graphicFrame>
      </mc:Choice>
      <mc:Fallback xmlns="">
        <xdr:sp macro="" textlink="">
          <xdr:nvSpPr>
            <xdr:cNvPr id="0" name=""/>
            <xdr:cNvSpPr>
              <a:spLocks noTextEdit="1"/>
            </xdr:cNvSpPr>
          </xdr:nvSpPr>
          <xdr:spPr>
            <a:xfrm>
              <a:off x="6454140" y="1623060"/>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han" refreshedDate="46293.549767245371" createdVersion="8" refreshedVersion="8" minRefreshableVersion="3" recordCount="2489" xr:uid="{ABDE4E8F-8E3D-49BE-AB5F-E4249009B651}">
  <cacheSource type="worksheet">
    <worksheetSource ref="A1:I2490" sheet="amazon_ab_test_2500"/>
  </cacheSource>
  <cacheFields count="10">
    <cacheField name="user_id" numFmtId="0">
      <sharedItems/>
    </cacheField>
    <cacheField name="test_group" numFmtId="0">
      <sharedItems/>
    </cacheField>
    <cacheField name="clean_test_group" numFmtId="0">
      <sharedItems count="2">
        <s v="A"/>
        <s v="B"/>
      </sharedItems>
    </cacheField>
    <cacheField name="customer_segment" numFmtId="0">
      <sharedItems count="4">
        <s v="VIP"/>
        <s v="Returning"/>
        <s v="Unknown"/>
        <s v="New"/>
      </sharedItems>
    </cacheField>
    <cacheField name="device" numFmtId="0">
      <sharedItems count="3">
        <s v="Mobile"/>
        <s v="Desktop"/>
        <s v="Tablet"/>
      </sharedItems>
    </cacheField>
    <cacheField name="clean_device" numFmtId="0">
      <sharedItems count="3">
        <s v="Mobile"/>
        <s v="Desktop"/>
        <s v="Tablet"/>
      </sharedItems>
    </cacheField>
    <cacheField name="pages_viewed" numFmtId="0">
      <sharedItems containsSemiMixedTypes="0" containsString="0" containsNumber="1" containsInteger="1" minValue="1" maxValue="15"/>
    </cacheField>
    <cacheField name="converted" numFmtId="0">
      <sharedItems containsSemiMixedTypes="0" containsString="0" containsNumber="1" containsInteger="1" minValue="0" maxValue="1"/>
    </cacheField>
    <cacheField name="order_value_inr" numFmtId="0">
      <sharedItems containsSemiMixedTypes="0" containsString="0" containsNumber="1" minValue="0" maxValue="7633.49"/>
    </cacheField>
    <cacheField name="AOV_Calculated" numFmtId="0" formula="order_value_inr/converted" databaseField="0"/>
  </cacheFields>
  <extLst>
    <ext xmlns:x14="http://schemas.microsoft.com/office/spreadsheetml/2009/9/main" uri="{725AE2AE-9491-48be-B2B4-4EB974FC3084}">
      <x14:pivotCacheDefinition pivotCacheId="20870706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89">
  <r>
    <s v="USR_00001"/>
    <s v="A"/>
    <x v="0"/>
    <x v="0"/>
    <x v="0"/>
    <x v="0"/>
    <n v="6"/>
    <n v="0"/>
    <n v="0"/>
  </r>
  <r>
    <s v="USR_00002"/>
    <s v="control"/>
    <x v="0"/>
    <x v="1"/>
    <x v="0"/>
    <x v="0"/>
    <n v="6"/>
    <n v="1"/>
    <n v="3194.5"/>
  </r>
  <r>
    <s v="USR_00003"/>
    <s v="B"/>
    <x v="1"/>
    <x v="1"/>
    <x v="0"/>
    <x v="0"/>
    <n v="5"/>
    <n v="1"/>
    <n v="2288.77"/>
  </r>
  <r>
    <s v="USR_00004"/>
    <s v="B"/>
    <x v="1"/>
    <x v="2"/>
    <x v="0"/>
    <x v="0"/>
    <n v="9"/>
    <n v="0"/>
    <n v="0"/>
  </r>
  <r>
    <s v="USR_00005"/>
    <s v="A"/>
    <x v="0"/>
    <x v="3"/>
    <x v="0"/>
    <x v="0"/>
    <n v="2"/>
    <n v="0"/>
    <n v="0"/>
  </r>
  <r>
    <s v="USR_00006"/>
    <s v="A"/>
    <x v="0"/>
    <x v="3"/>
    <x v="0"/>
    <x v="0"/>
    <n v="8"/>
    <n v="0"/>
    <n v="0"/>
  </r>
  <r>
    <s v="USR_00007"/>
    <s v="A"/>
    <x v="0"/>
    <x v="0"/>
    <x v="1"/>
    <x v="1"/>
    <n v="5"/>
    <n v="0"/>
    <n v="0"/>
  </r>
  <r>
    <s v="USR_00008"/>
    <s v="B"/>
    <x v="1"/>
    <x v="1"/>
    <x v="0"/>
    <x v="0"/>
    <n v="9"/>
    <n v="0"/>
    <n v="0"/>
  </r>
  <r>
    <s v="USR_00009"/>
    <s v="B"/>
    <x v="1"/>
    <x v="0"/>
    <x v="0"/>
    <x v="0"/>
    <n v="9"/>
    <n v="0"/>
    <n v="0"/>
  </r>
  <r>
    <s v="USR_00010"/>
    <s v="B"/>
    <x v="1"/>
    <x v="0"/>
    <x v="0"/>
    <x v="0"/>
    <n v="4"/>
    <n v="1"/>
    <n v="6056.2"/>
  </r>
  <r>
    <s v="USR_00011"/>
    <s v="A"/>
    <x v="0"/>
    <x v="3"/>
    <x v="0"/>
    <x v="0"/>
    <n v="2"/>
    <n v="1"/>
    <n v="826.71"/>
  </r>
  <r>
    <s v="USR_00012"/>
    <s v="variant_b"/>
    <x v="1"/>
    <x v="0"/>
    <x v="1"/>
    <x v="1"/>
    <n v="6"/>
    <n v="1"/>
    <n v="4603.3100000000004"/>
  </r>
  <r>
    <s v="USR_00013"/>
    <s v="B"/>
    <x v="1"/>
    <x v="1"/>
    <x v="1"/>
    <x v="1"/>
    <n v="6"/>
    <n v="0"/>
    <n v="0"/>
  </r>
  <r>
    <s v="USR_00014"/>
    <s v="A"/>
    <x v="0"/>
    <x v="1"/>
    <x v="1"/>
    <x v="1"/>
    <n v="7"/>
    <n v="0"/>
    <n v="0"/>
  </r>
  <r>
    <s v="USR_00015"/>
    <s v="A"/>
    <x v="0"/>
    <x v="1"/>
    <x v="0"/>
    <x v="0"/>
    <n v="8"/>
    <n v="0"/>
    <n v="0"/>
  </r>
  <r>
    <s v="USR_00027"/>
    <s v="A"/>
    <x v="0"/>
    <x v="3"/>
    <x v="0"/>
    <x v="0"/>
    <n v="6"/>
    <n v="0"/>
    <n v="0"/>
  </r>
  <r>
    <s v="USR_00028"/>
    <s v="B"/>
    <x v="1"/>
    <x v="2"/>
    <x v="0"/>
    <x v="0"/>
    <n v="9"/>
    <n v="0"/>
    <n v="0"/>
  </r>
  <r>
    <s v="USR_00029"/>
    <s v="B"/>
    <x v="1"/>
    <x v="3"/>
    <x v="1"/>
    <x v="1"/>
    <n v="5"/>
    <n v="0"/>
    <n v="0"/>
  </r>
  <r>
    <s v="USR_00030"/>
    <s v="A"/>
    <x v="0"/>
    <x v="2"/>
    <x v="0"/>
    <x v="0"/>
    <n v="5"/>
    <n v="0"/>
    <n v="0"/>
  </r>
  <r>
    <s v="USR_00031"/>
    <s v="B"/>
    <x v="1"/>
    <x v="1"/>
    <x v="0"/>
    <x v="0"/>
    <n v="5"/>
    <n v="0"/>
    <n v="0"/>
  </r>
  <r>
    <s v="USR_00032"/>
    <s v="A"/>
    <x v="0"/>
    <x v="0"/>
    <x v="1"/>
    <x v="1"/>
    <n v="6"/>
    <n v="0"/>
    <n v="0"/>
  </r>
  <r>
    <s v="USR_00033"/>
    <s v="A"/>
    <x v="0"/>
    <x v="3"/>
    <x v="1"/>
    <x v="1"/>
    <n v="2"/>
    <n v="0"/>
    <n v="0"/>
  </r>
  <r>
    <s v="USR_00034"/>
    <s v="control"/>
    <x v="0"/>
    <x v="3"/>
    <x v="1"/>
    <x v="1"/>
    <n v="6"/>
    <n v="0"/>
    <n v="0"/>
  </r>
  <r>
    <s v="USR_00035"/>
    <s v="variant_b"/>
    <x v="1"/>
    <x v="1"/>
    <x v="0"/>
    <x v="0"/>
    <n v="6"/>
    <n v="0"/>
    <n v="0"/>
  </r>
  <r>
    <s v="USR_00036"/>
    <s v="B"/>
    <x v="1"/>
    <x v="0"/>
    <x v="0"/>
    <x v="0"/>
    <n v="5"/>
    <n v="1"/>
    <n v="4670.17"/>
  </r>
  <r>
    <s v="USR_00037"/>
    <s v="A"/>
    <x v="0"/>
    <x v="1"/>
    <x v="1"/>
    <x v="1"/>
    <n v="7"/>
    <n v="0"/>
    <n v="0"/>
  </r>
  <r>
    <s v="USR_00038"/>
    <s v="A"/>
    <x v="0"/>
    <x v="3"/>
    <x v="1"/>
    <x v="1"/>
    <n v="6"/>
    <n v="0"/>
    <n v="0"/>
  </r>
  <r>
    <s v="USR_00039"/>
    <s v="B"/>
    <x v="1"/>
    <x v="1"/>
    <x v="1"/>
    <x v="1"/>
    <n v="5"/>
    <n v="1"/>
    <n v="2338.44"/>
  </r>
  <r>
    <s v="USR_00040"/>
    <s v="A"/>
    <x v="0"/>
    <x v="1"/>
    <x v="1"/>
    <x v="1"/>
    <n v="3"/>
    <n v="0"/>
    <n v="0"/>
  </r>
  <r>
    <s v="USR_00041"/>
    <s v="A"/>
    <x v="0"/>
    <x v="1"/>
    <x v="1"/>
    <x v="1"/>
    <n v="5"/>
    <n v="0"/>
    <n v="0"/>
  </r>
  <r>
    <s v="USR_00042"/>
    <s v="B"/>
    <x v="1"/>
    <x v="1"/>
    <x v="1"/>
    <x v="1"/>
    <n v="5"/>
    <n v="1"/>
    <n v="2542.4699999999998"/>
  </r>
  <r>
    <s v="USR_00043"/>
    <s v="A"/>
    <x v="0"/>
    <x v="0"/>
    <x v="0"/>
    <x v="0"/>
    <n v="5"/>
    <n v="0"/>
    <n v="0"/>
  </r>
  <r>
    <s v="USR_00044"/>
    <s v="B"/>
    <x v="1"/>
    <x v="1"/>
    <x v="1"/>
    <x v="1"/>
    <n v="4"/>
    <n v="0"/>
    <n v="0"/>
  </r>
  <r>
    <s v="USR_00045"/>
    <s v="A"/>
    <x v="0"/>
    <x v="3"/>
    <x v="1"/>
    <x v="1"/>
    <n v="4"/>
    <n v="0"/>
    <n v="0"/>
  </r>
  <r>
    <s v="USR_00046"/>
    <s v="B"/>
    <x v="1"/>
    <x v="1"/>
    <x v="1"/>
    <x v="1"/>
    <n v="4"/>
    <n v="0"/>
    <n v="0"/>
  </r>
  <r>
    <s v="USR_00047"/>
    <s v="A"/>
    <x v="0"/>
    <x v="3"/>
    <x v="0"/>
    <x v="0"/>
    <n v="3"/>
    <n v="0"/>
    <n v="0"/>
  </r>
  <r>
    <s v="USR_00048"/>
    <s v="B"/>
    <x v="1"/>
    <x v="3"/>
    <x v="1"/>
    <x v="1"/>
    <n v="9"/>
    <n v="0"/>
    <n v="0"/>
  </r>
  <r>
    <s v="USR_00049"/>
    <s v="B"/>
    <x v="1"/>
    <x v="3"/>
    <x v="0"/>
    <x v="0"/>
    <n v="6"/>
    <n v="0"/>
    <n v="0"/>
  </r>
  <r>
    <s v="USR_00050"/>
    <s v="A"/>
    <x v="0"/>
    <x v="3"/>
    <x v="0"/>
    <x v="0"/>
    <n v="6"/>
    <n v="0"/>
    <n v="0"/>
  </r>
  <r>
    <s v="USR_00051"/>
    <s v="variant_b"/>
    <x v="1"/>
    <x v="3"/>
    <x v="0"/>
    <x v="0"/>
    <n v="8"/>
    <n v="1"/>
    <n v="2086.04"/>
  </r>
  <r>
    <s v="USR_00052"/>
    <s v="B"/>
    <x v="1"/>
    <x v="3"/>
    <x v="1"/>
    <x v="1"/>
    <n v="1"/>
    <n v="0"/>
    <n v="0"/>
  </r>
  <r>
    <s v="USR_00053"/>
    <s v="control"/>
    <x v="0"/>
    <x v="0"/>
    <x v="0"/>
    <x v="0"/>
    <n v="7"/>
    <n v="0"/>
    <n v="0"/>
  </r>
  <r>
    <s v="USR_00054"/>
    <s v="B"/>
    <x v="1"/>
    <x v="2"/>
    <x v="0"/>
    <x v="0"/>
    <n v="2"/>
    <n v="0"/>
    <n v="0"/>
  </r>
  <r>
    <s v="USR_00055"/>
    <s v="B"/>
    <x v="1"/>
    <x v="3"/>
    <x v="0"/>
    <x v="0"/>
    <n v="1"/>
    <n v="0"/>
    <n v="0"/>
  </r>
  <r>
    <s v="USR_00056"/>
    <s v="control"/>
    <x v="0"/>
    <x v="2"/>
    <x v="1"/>
    <x v="1"/>
    <n v="6"/>
    <n v="1"/>
    <n v="1403.78"/>
  </r>
  <r>
    <s v="USR_00057"/>
    <s v="A"/>
    <x v="0"/>
    <x v="1"/>
    <x v="0"/>
    <x v="0"/>
    <n v="7"/>
    <n v="0"/>
    <n v="0"/>
  </r>
  <r>
    <s v="USR_00058"/>
    <s v="A"/>
    <x v="0"/>
    <x v="3"/>
    <x v="0"/>
    <x v="0"/>
    <n v="2"/>
    <n v="0"/>
    <n v="0"/>
  </r>
  <r>
    <s v="USR_00059"/>
    <s v="A"/>
    <x v="0"/>
    <x v="3"/>
    <x v="1"/>
    <x v="1"/>
    <n v="6"/>
    <n v="0"/>
    <n v="0"/>
  </r>
  <r>
    <s v="USR_00060"/>
    <s v="A"/>
    <x v="0"/>
    <x v="1"/>
    <x v="0"/>
    <x v="0"/>
    <n v="6"/>
    <n v="0"/>
    <n v="0"/>
  </r>
  <r>
    <s v="USR_00061"/>
    <s v="A"/>
    <x v="0"/>
    <x v="0"/>
    <x v="1"/>
    <x v="1"/>
    <n v="7"/>
    <n v="0"/>
    <n v="0"/>
  </r>
  <r>
    <s v="USR_00062"/>
    <s v="A"/>
    <x v="0"/>
    <x v="1"/>
    <x v="1"/>
    <x v="1"/>
    <n v="5"/>
    <n v="0"/>
    <n v="0"/>
  </r>
  <r>
    <s v="USR_00063"/>
    <s v="B"/>
    <x v="1"/>
    <x v="3"/>
    <x v="0"/>
    <x v="0"/>
    <n v="5"/>
    <n v="0"/>
    <n v="0"/>
  </r>
  <r>
    <s v="USR_00064"/>
    <s v="A"/>
    <x v="0"/>
    <x v="3"/>
    <x v="0"/>
    <x v="0"/>
    <n v="3"/>
    <n v="0"/>
    <n v="0"/>
  </r>
  <r>
    <s v="USR_00065"/>
    <s v="A"/>
    <x v="0"/>
    <x v="3"/>
    <x v="1"/>
    <x v="1"/>
    <n v="6"/>
    <n v="0"/>
    <n v="0"/>
  </r>
  <r>
    <s v="USR_00066"/>
    <s v="B"/>
    <x v="1"/>
    <x v="3"/>
    <x v="0"/>
    <x v="0"/>
    <n v="9"/>
    <n v="1"/>
    <n v="1756.14"/>
  </r>
  <r>
    <s v="USR_00067"/>
    <s v="A"/>
    <x v="0"/>
    <x v="3"/>
    <x v="0"/>
    <x v="0"/>
    <n v="7"/>
    <n v="0"/>
    <n v="0"/>
  </r>
  <r>
    <s v="USR_00068"/>
    <s v="B"/>
    <x v="1"/>
    <x v="3"/>
    <x v="0"/>
    <x v="0"/>
    <n v="7"/>
    <n v="1"/>
    <n v="1065.8499999999999"/>
  </r>
  <r>
    <s v="USR_00069"/>
    <s v="A"/>
    <x v="0"/>
    <x v="0"/>
    <x v="1"/>
    <x v="1"/>
    <n v="6"/>
    <n v="0"/>
    <n v="0"/>
  </r>
  <r>
    <s v="USR_00070"/>
    <s v="variant_b"/>
    <x v="1"/>
    <x v="2"/>
    <x v="0"/>
    <x v="0"/>
    <n v="3"/>
    <n v="0"/>
    <n v="0"/>
  </r>
  <r>
    <s v="USR_00071"/>
    <s v="B"/>
    <x v="1"/>
    <x v="3"/>
    <x v="1"/>
    <x v="1"/>
    <n v="3"/>
    <n v="0"/>
    <n v="0"/>
  </r>
  <r>
    <s v="USR_00072"/>
    <s v="A"/>
    <x v="0"/>
    <x v="0"/>
    <x v="1"/>
    <x v="1"/>
    <n v="5"/>
    <n v="0"/>
    <n v="0"/>
  </r>
  <r>
    <s v="USR_00073"/>
    <s v="A"/>
    <x v="0"/>
    <x v="3"/>
    <x v="0"/>
    <x v="0"/>
    <n v="8"/>
    <n v="0"/>
    <n v="0"/>
  </r>
  <r>
    <s v="USR_00074"/>
    <s v="B"/>
    <x v="1"/>
    <x v="1"/>
    <x v="0"/>
    <x v="0"/>
    <n v="9"/>
    <n v="0"/>
    <n v="0"/>
  </r>
  <r>
    <s v="USR_00075"/>
    <s v="B"/>
    <x v="1"/>
    <x v="3"/>
    <x v="2"/>
    <x v="2"/>
    <n v="4"/>
    <n v="0"/>
    <n v="0"/>
  </r>
  <r>
    <s v="USR_00076"/>
    <s v="B"/>
    <x v="1"/>
    <x v="1"/>
    <x v="0"/>
    <x v="0"/>
    <n v="5"/>
    <n v="0"/>
    <n v="0"/>
  </r>
  <r>
    <s v="USR_00077"/>
    <s v="B"/>
    <x v="1"/>
    <x v="2"/>
    <x v="1"/>
    <x v="1"/>
    <n v="6"/>
    <n v="0"/>
    <n v="0"/>
  </r>
  <r>
    <s v="USR_00078"/>
    <s v="A"/>
    <x v="0"/>
    <x v="1"/>
    <x v="0"/>
    <x v="0"/>
    <n v="10"/>
    <n v="0"/>
    <n v="0"/>
  </r>
  <r>
    <s v="USR_00079"/>
    <s v="A"/>
    <x v="0"/>
    <x v="3"/>
    <x v="0"/>
    <x v="0"/>
    <n v="8"/>
    <n v="0"/>
    <n v="0"/>
  </r>
  <r>
    <s v="USR_00080"/>
    <s v="A"/>
    <x v="0"/>
    <x v="1"/>
    <x v="0"/>
    <x v="0"/>
    <n v="5"/>
    <n v="0"/>
    <n v="0"/>
  </r>
  <r>
    <s v="USR_00081"/>
    <s v="B"/>
    <x v="1"/>
    <x v="3"/>
    <x v="0"/>
    <x v="0"/>
    <n v="6"/>
    <n v="0"/>
    <n v="0"/>
  </r>
  <r>
    <s v="USR_00082"/>
    <s v="B"/>
    <x v="1"/>
    <x v="0"/>
    <x v="0"/>
    <x v="0"/>
    <n v="4"/>
    <n v="0"/>
    <n v="0"/>
  </r>
  <r>
    <s v="USR_00083"/>
    <s v="A"/>
    <x v="0"/>
    <x v="1"/>
    <x v="0"/>
    <x v="0"/>
    <n v="5"/>
    <n v="0"/>
    <n v="0"/>
  </r>
  <r>
    <s v="USR_00084"/>
    <s v="A"/>
    <x v="0"/>
    <x v="1"/>
    <x v="0"/>
    <x v="0"/>
    <n v="7"/>
    <n v="0"/>
    <n v="0"/>
  </r>
  <r>
    <s v="USR_00085"/>
    <s v="A"/>
    <x v="0"/>
    <x v="1"/>
    <x v="0"/>
    <x v="0"/>
    <n v="3"/>
    <n v="0"/>
    <n v="0"/>
  </r>
  <r>
    <s v="USR_00086"/>
    <s v="A"/>
    <x v="0"/>
    <x v="1"/>
    <x v="0"/>
    <x v="0"/>
    <n v="9"/>
    <n v="0"/>
    <n v="0"/>
  </r>
  <r>
    <s v="USR_00087"/>
    <s v="B"/>
    <x v="1"/>
    <x v="3"/>
    <x v="1"/>
    <x v="1"/>
    <n v="6"/>
    <n v="0"/>
    <n v="0"/>
  </r>
  <r>
    <s v="USR_00088"/>
    <s v="B"/>
    <x v="1"/>
    <x v="1"/>
    <x v="0"/>
    <x v="0"/>
    <n v="5"/>
    <n v="1"/>
    <n v="2980.32"/>
  </r>
  <r>
    <s v="USR_00089"/>
    <s v="B"/>
    <x v="1"/>
    <x v="3"/>
    <x v="1"/>
    <x v="1"/>
    <n v="8"/>
    <n v="0"/>
    <n v="0"/>
  </r>
  <r>
    <s v="USR_00090"/>
    <s v="B"/>
    <x v="1"/>
    <x v="1"/>
    <x v="0"/>
    <x v="0"/>
    <n v="7"/>
    <n v="0"/>
    <n v="0"/>
  </r>
  <r>
    <s v="USR_00091"/>
    <s v="A"/>
    <x v="0"/>
    <x v="0"/>
    <x v="0"/>
    <x v="0"/>
    <n v="8"/>
    <n v="0"/>
    <n v="0"/>
  </r>
  <r>
    <s v="USR_00092"/>
    <s v="B"/>
    <x v="1"/>
    <x v="0"/>
    <x v="0"/>
    <x v="0"/>
    <n v="5"/>
    <n v="0"/>
    <n v="0"/>
  </r>
  <r>
    <s v="USR_00093"/>
    <s v="B"/>
    <x v="1"/>
    <x v="1"/>
    <x v="0"/>
    <x v="0"/>
    <n v="4"/>
    <n v="0"/>
    <n v="0"/>
  </r>
  <r>
    <s v="USR_00094"/>
    <s v="B"/>
    <x v="1"/>
    <x v="1"/>
    <x v="0"/>
    <x v="0"/>
    <n v="9"/>
    <n v="0"/>
    <n v="0"/>
  </r>
  <r>
    <s v="USR_00095"/>
    <s v="B"/>
    <x v="1"/>
    <x v="3"/>
    <x v="0"/>
    <x v="0"/>
    <n v="7"/>
    <n v="0"/>
    <n v="0"/>
  </r>
  <r>
    <s v="USR_00096"/>
    <s v="B"/>
    <x v="1"/>
    <x v="0"/>
    <x v="0"/>
    <x v="0"/>
    <n v="4"/>
    <n v="0"/>
    <n v="0"/>
  </r>
  <r>
    <s v="USR_00097"/>
    <s v="B"/>
    <x v="1"/>
    <x v="3"/>
    <x v="0"/>
    <x v="0"/>
    <n v="6"/>
    <n v="0"/>
    <n v="0"/>
  </r>
  <r>
    <s v="USR_00098"/>
    <s v="A"/>
    <x v="0"/>
    <x v="1"/>
    <x v="0"/>
    <x v="0"/>
    <n v="7"/>
    <n v="0"/>
    <n v="0"/>
  </r>
  <r>
    <s v="USR_00099"/>
    <s v="A"/>
    <x v="0"/>
    <x v="3"/>
    <x v="0"/>
    <x v="0"/>
    <n v="4"/>
    <n v="0"/>
    <n v="0"/>
  </r>
  <r>
    <s v="USR_00100"/>
    <s v="A"/>
    <x v="0"/>
    <x v="3"/>
    <x v="0"/>
    <x v="0"/>
    <n v="7"/>
    <n v="0"/>
    <n v="0"/>
  </r>
  <r>
    <s v="USR_00101"/>
    <s v="A"/>
    <x v="0"/>
    <x v="1"/>
    <x v="0"/>
    <x v="0"/>
    <n v="3"/>
    <n v="0"/>
    <n v="0"/>
  </r>
  <r>
    <s v="USR_00102"/>
    <s v="B"/>
    <x v="1"/>
    <x v="3"/>
    <x v="1"/>
    <x v="1"/>
    <n v="4"/>
    <n v="0"/>
    <n v="0"/>
  </r>
  <r>
    <s v="USR_00103"/>
    <s v="A"/>
    <x v="0"/>
    <x v="1"/>
    <x v="1"/>
    <x v="1"/>
    <n v="7"/>
    <n v="0"/>
    <n v="0"/>
  </r>
  <r>
    <s v="USR_00104"/>
    <s v="B"/>
    <x v="1"/>
    <x v="3"/>
    <x v="0"/>
    <x v="0"/>
    <n v="5"/>
    <n v="0"/>
    <n v="0"/>
  </r>
  <r>
    <s v="USR_00105"/>
    <s v="B"/>
    <x v="1"/>
    <x v="3"/>
    <x v="0"/>
    <x v="0"/>
    <n v="6"/>
    <n v="0"/>
    <n v="0"/>
  </r>
  <r>
    <s v="USR_00106"/>
    <s v="A"/>
    <x v="0"/>
    <x v="1"/>
    <x v="0"/>
    <x v="0"/>
    <n v="3"/>
    <n v="0"/>
    <n v="0"/>
  </r>
  <r>
    <s v="USR_00107"/>
    <s v="A"/>
    <x v="0"/>
    <x v="3"/>
    <x v="0"/>
    <x v="0"/>
    <n v="4"/>
    <n v="0"/>
    <n v="0"/>
  </r>
  <r>
    <s v="USR_00108"/>
    <s v="B"/>
    <x v="1"/>
    <x v="3"/>
    <x v="0"/>
    <x v="0"/>
    <n v="6"/>
    <n v="0"/>
    <n v="0"/>
  </r>
  <r>
    <s v="USR_00109"/>
    <s v="A"/>
    <x v="0"/>
    <x v="1"/>
    <x v="1"/>
    <x v="1"/>
    <n v="6"/>
    <n v="0"/>
    <n v="0"/>
  </r>
  <r>
    <s v="USR_00110"/>
    <s v="A"/>
    <x v="0"/>
    <x v="3"/>
    <x v="1"/>
    <x v="1"/>
    <n v="5"/>
    <n v="0"/>
    <n v="0"/>
  </r>
  <r>
    <s v="USR_00111"/>
    <s v="A"/>
    <x v="0"/>
    <x v="0"/>
    <x v="2"/>
    <x v="2"/>
    <n v="6"/>
    <n v="0"/>
    <n v="0"/>
  </r>
  <r>
    <s v="USR_00112"/>
    <s v="A"/>
    <x v="0"/>
    <x v="3"/>
    <x v="0"/>
    <x v="0"/>
    <n v="9"/>
    <n v="0"/>
    <n v="0"/>
  </r>
  <r>
    <s v="USR_00113"/>
    <s v="control"/>
    <x v="0"/>
    <x v="3"/>
    <x v="1"/>
    <x v="1"/>
    <n v="7"/>
    <n v="1"/>
    <n v="1162.32"/>
  </r>
  <r>
    <s v="USR_00114"/>
    <s v="B"/>
    <x v="1"/>
    <x v="1"/>
    <x v="1"/>
    <x v="1"/>
    <n v="4"/>
    <n v="0"/>
    <n v="0"/>
  </r>
  <r>
    <s v="USR_00115"/>
    <s v="B"/>
    <x v="1"/>
    <x v="3"/>
    <x v="0"/>
    <x v="0"/>
    <n v="6"/>
    <n v="0"/>
    <n v="0"/>
  </r>
  <r>
    <s v="USR_00116"/>
    <s v="B"/>
    <x v="1"/>
    <x v="3"/>
    <x v="1"/>
    <x v="1"/>
    <n v="6"/>
    <n v="0"/>
    <n v="0"/>
  </r>
  <r>
    <s v="USR_00117"/>
    <s v="B"/>
    <x v="1"/>
    <x v="3"/>
    <x v="0"/>
    <x v="0"/>
    <n v="7"/>
    <n v="0"/>
    <n v="0"/>
  </r>
  <r>
    <s v="USR_00118"/>
    <s v="A"/>
    <x v="0"/>
    <x v="3"/>
    <x v="0"/>
    <x v="0"/>
    <n v="4"/>
    <n v="0"/>
    <n v="0"/>
  </r>
  <r>
    <s v="USR_00119"/>
    <s v="B"/>
    <x v="1"/>
    <x v="0"/>
    <x v="1"/>
    <x v="1"/>
    <n v="5"/>
    <n v="0"/>
    <n v="0"/>
  </r>
  <r>
    <s v="USR_00120"/>
    <s v="B"/>
    <x v="1"/>
    <x v="3"/>
    <x v="0"/>
    <x v="0"/>
    <n v="5"/>
    <n v="0"/>
    <n v="0"/>
  </r>
  <r>
    <s v="USR_00121"/>
    <s v="B"/>
    <x v="1"/>
    <x v="0"/>
    <x v="0"/>
    <x v="0"/>
    <n v="1"/>
    <n v="1"/>
    <n v="5574.65"/>
  </r>
  <r>
    <s v="USR_00122"/>
    <s v="B"/>
    <x v="1"/>
    <x v="0"/>
    <x v="1"/>
    <x v="1"/>
    <n v="1"/>
    <n v="1"/>
    <n v="4537.49"/>
  </r>
  <r>
    <s v="USR_00123"/>
    <s v="A"/>
    <x v="0"/>
    <x v="1"/>
    <x v="0"/>
    <x v="0"/>
    <n v="1"/>
    <n v="0"/>
    <n v="0"/>
  </r>
  <r>
    <s v="USR_00124"/>
    <s v="A"/>
    <x v="0"/>
    <x v="0"/>
    <x v="0"/>
    <x v="0"/>
    <n v="1"/>
    <n v="0"/>
    <n v="0"/>
  </r>
  <r>
    <s v="USR_00125"/>
    <s v="A"/>
    <x v="0"/>
    <x v="3"/>
    <x v="1"/>
    <x v="1"/>
    <n v="1"/>
    <n v="0"/>
    <n v="0"/>
  </r>
  <r>
    <s v="USR_00126"/>
    <s v="A"/>
    <x v="0"/>
    <x v="2"/>
    <x v="1"/>
    <x v="1"/>
    <n v="1"/>
    <n v="0"/>
    <n v="0"/>
  </r>
  <r>
    <s v="USR_00127"/>
    <s v="B"/>
    <x v="1"/>
    <x v="3"/>
    <x v="1"/>
    <x v="1"/>
    <n v="1"/>
    <n v="0"/>
    <n v="0"/>
  </r>
  <r>
    <s v="USR_00128"/>
    <s v="B"/>
    <x v="1"/>
    <x v="1"/>
    <x v="0"/>
    <x v="0"/>
    <n v="1"/>
    <n v="0"/>
    <n v="0"/>
  </r>
  <r>
    <s v="USR_00129"/>
    <s v="A"/>
    <x v="0"/>
    <x v="1"/>
    <x v="0"/>
    <x v="0"/>
    <n v="1"/>
    <n v="0"/>
    <n v="0"/>
  </r>
  <r>
    <s v="USR_00130"/>
    <s v="B"/>
    <x v="1"/>
    <x v="3"/>
    <x v="0"/>
    <x v="0"/>
    <n v="1"/>
    <n v="0"/>
    <n v="0"/>
  </r>
  <r>
    <s v="USR_00131"/>
    <s v="A"/>
    <x v="0"/>
    <x v="1"/>
    <x v="1"/>
    <x v="1"/>
    <n v="1"/>
    <n v="0"/>
    <n v="0"/>
  </r>
  <r>
    <s v="USR_00132"/>
    <s v="A"/>
    <x v="0"/>
    <x v="1"/>
    <x v="0"/>
    <x v="0"/>
    <n v="7"/>
    <n v="0"/>
    <n v="0"/>
  </r>
  <r>
    <s v="USR_00133"/>
    <s v="A"/>
    <x v="0"/>
    <x v="3"/>
    <x v="0"/>
    <x v="0"/>
    <n v="5"/>
    <n v="0"/>
    <n v="0"/>
  </r>
  <r>
    <s v="USR_00134"/>
    <s v="A"/>
    <x v="0"/>
    <x v="3"/>
    <x v="0"/>
    <x v="0"/>
    <n v="13"/>
    <n v="0"/>
    <n v="0"/>
  </r>
  <r>
    <s v="USR_00135"/>
    <s v="control"/>
    <x v="0"/>
    <x v="1"/>
    <x v="1"/>
    <x v="1"/>
    <n v="1"/>
    <n v="0"/>
    <n v="0"/>
  </r>
  <r>
    <s v="USR_00136"/>
    <s v="A"/>
    <x v="0"/>
    <x v="1"/>
    <x v="0"/>
    <x v="0"/>
    <n v="6"/>
    <n v="0"/>
    <n v="0"/>
  </r>
  <r>
    <s v="USR_00137"/>
    <s v="B"/>
    <x v="1"/>
    <x v="2"/>
    <x v="1"/>
    <x v="1"/>
    <n v="4"/>
    <n v="0"/>
    <n v="0"/>
  </r>
  <r>
    <s v="USR_00138"/>
    <s v="B"/>
    <x v="1"/>
    <x v="1"/>
    <x v="0"/>
    <x v="0"/>
    <n v="3"/>
    <n v="0"/>
    <n v="0"/>
  </r>
  <r>
    <s v="USR_00139"/>
    <s v="A"/>
    <x v="0"/>
    <x v="2"/>
    <x v="1"/>
    <x v="1"/>
    <n v="4"/>
    <n v="0"/>
    <n v="0"/>
  </r>
  <r>
    <s v="USR_00140"/>
    <s v="variant_b"/>
    <x v="1"/>
    <x v="1"/>
    <x v="1"/>
    <x v="1"/>
    <n v="3"/>
    <n v="0"/>
    <n v="0"/>
  </r>
  <r>
    <s v="USR_00141"/>
    <s v="variant_b"/>
    <x v="1"/>
    <x v="3"/>
    <x v="1"/>
    <x v="1"/>
    <n v="4"/>
    <n v="0"/>
    <n v="0"/>
  </r>
  <r>
    <s v="USR_00142"/>
    <s v="A"/>
    <x v="0"/>
    <x v="3"/>
    <x v="0"/>
    <x v="0"/>
    <n v="6"/>
    <n v="1"/>
    <n v="537.19000000000005"/>
  </r>
  <r>
    <s v="USR_00143"/>
    <s v="B"/>
    <x v="1"/>
    <x v="0"/>
    <x v="1"/>
    <x v="1"/>
    <n v="6"/>
    <n v="1"/>
    <n v="4544.32"/>
  </r>
  <r>
    <s v="USR_00144"/>
    <s v="A"/>
    <x v="0"/>
    <x v="1"/>
    <x v="1"/>
    <x v="1"/>
    <n v="10"/>
    <n v="0"/>
    <n v="0"/>
  </r>
  <r>
    <s v="USR_00145"/>
    <s v="A"/>
    <x v="0"/>
    <x v="3"/>
    <x v="0"/>
    <x v="0"/>
    <n v="6"/>
    <n v="0"/>
    <n v="0"/>
  </r>
  <r>
    <s v="USR_00146"/>
    <s v="A"/>
    <x v="0"/>
    <x v="3"/>
    <x v="0"/>
    <x v="0"/>
    <n v="6"/>
    <n v="1"/>
    <n v="1791.16"/>
  </r>
  <r>
    <s v="USR_00147"/>
    <s v="B"/>
    <x v="1"/>
    <x v="2"/>
    <x v="1"/>
    <x v="1"/>
    <n v="3"/>
    <n v="0"/>
    <n v="0"/>
  </r>
  <r>
    <s v="USR_00148"/>
    <s v="B"/>
    <x v="1"/>
    <x v="1"/>
    <x v="0"/>
    <x v="0"/>
    <n v="7"/>
    <n v="1"/>
    <n v="2252.16"/>
  </r>
  <r>
    <s v="USR_00149"/>
    <s v="A"/>
    <x v="0"/>
    <x v="1"/>
    <x v="1"/>
    <x v="1"/>
    <n v="5"/>
    <n v="0"/>
    <n v="0"/>
  </r>
  <r>
    <s v="USR_00150"/>
    <s v="A"/>
    <x v="0"/>
    <x v="1"/>
    <x v="0"/>
    <x v="0"/>
    <n v="7"/>
    <n v="0"/>
    <n v="0"/>
  </r>
  <r>
    <s v="USR_00151"/>
    <s v="B"/>
    <x v="1"/>
    <x v="3"/>
    <x v="0"/>
    <x v="0"/>
    <n v="3"/>
    <n v="0"/>
    <n v="0"/>
  </r>
  <r>
    <s v="USR_00152"/>
    <s v="A"/>
    <x v="0"/>
    <x v="3"/>
    <x v="0"/>
    <x v="0"/>
    <n v="8"/>
    <n v="0"/>
    <n v="0"/>
  </r>
  <r>
    <s v="USR_00153"/>
    <s v="A"/>
    <x v="0"/>
    <x v="3"/>
    <x v="1"/>
    <x v="1"/>
    <n v="8"/>
    <n v="0"/>
    <n v="0"/>
  </r>
  <r>
    <s v="USR_00154"/>
    <s v="B"/>
    <x v="1"/>
    <x v="3"/>
    <x v="1"/>
    <x v="1"/>
    <n v="6"/>
    <n v="0"/>
    <n v="0"/>
  </r>
  <r>
    <s v="USR_00155"/>
    <s v="variant_b"/>
    <x v="1"/>
    <x v="1"/>
    <x v="1"/>
    <x v="1"/>
    <n v="8"/>
    <n v="0"/>
    <n v="0"/>
  </r>
  <r>
    <s v="USR_00156"/>
    <s v="A"/>
    <x v="0"/>
    <x v="3"/>
    <x v="0"/>
    <x v="0"/>
    <n v="8"/>
    <n v="0"/>
    <n v="0"/>
  </r>
  <r>
    <s v="USR_00157"/>
    <s v="B"/>
    <x v="1"/>
    <x v="0"/>
    <x v="0"/>
    <x v="0"/>
    <n v="6"/>
    <n v="0"/>
    <n v="0"/>
  </r>
  <r>
    <s v="USR_00158"/>
    <s v="B"/>
    <x v="1"/>
    <x v="0"/>
    <x v="1"/>
    <x v="1"/>
    <n v="12"/>
    <n v="1"/>
    <n v="4522.2"/>
  </r>
  <r>
    <s v="USR_00159"/>
    <s v="A"/>
    <x v="0"/>
    <x v="3"/>
    <x v="0"/>
    <x v="0"/>
    <n v="5"/>
    <n v="0"/>
    <n v="0"/>
  </r>
  <r>
    <s v="USR_00160"/>
    <s v="B"/>
    <x v="1"/>
    <x v="1"/>
    <x v="0"/>
    <x v="0"/>
    <n v="4"/>
    <n v="0"/>
    <n v="0"/>
  </r>
  <r>
    <s v="USR_00161"/>
    <s v="A"/>
    <x v="0"/>
    <x v="1"/>
    <x v="1"/>
    <x v="1"/>
    <n v="10"/>
    <n v="0"/>
    <n v="0"/>
  </r>
  <r>
    <s v="USR_00162"/>
    <s v="B"/>
    <x v="1"/>
    <x v="0"/>
    <x v="0"/>
    <x v="0"/>
    <n v="10"/>
    <n v="0"/>
    <n v="0"/>
  </r>
  <r>
    <s v="USR_00163"/>
    <s v="B"/>
    <x v="1"/>
    <x v="3"/>
    <x v="0"/>
    <x v="0"/>
    <n v="7"/>
    <n v="0"/>
    <n v="0"/>
  </r>
  <r>
    <s v="USR_00164"/>
    <s v="B"/>
    <x v="1"/>
    <x v="1"/>
    <x v="0"/>
    <x v="0"/>
    <n v="6"/>
    <n v="0"/>
    <n v="0"/>
  </r>
  <r>
    <s v="USR_00165"/>
    <s v="A"/>
    <x v="0"/>
    <x v="1"/>
    <x v="0"/>
    <x v="0"/>
    <n v="1"/>
    <n v="0"/>
    <n v="0"/>
  </r>
  <r>
    <s v="USR_00166"/>
    <s v="B"/>
    <x v="1"/>
    <x v="3"/>
    <x v="2"/>
    <x v="2"/>
    <n v="4"/>
    <n v="0"/>
    <n v="0"/>
  </r>
  <r>
    <s v="USR_00167"/>
    <s v="A"/>
    <x v="0"/>
    <x v="3"/>
    <x v="0"/>
    <x v="0"/>
    <n v="7"/>
    <n v="0"/>
    <n v="0"/>
  </r>
  <r>
    <s v="USR_00168"/>
    <s v="A"/>
    <x v="0"/>
    <x v="1"/>
    <x v="0"/>
    <x v="0"/>
    <n v="9"/>
    <n v="0"/>
    <n v="0"/>
  </r>
  <r>
    <s v="USR_00169"/>
    <s v="A"/>
    <x v="0"/>
    <x v="1"/>
    <x v="0"/>
    <x v="0"/>
    <n v="5"/>
    <n v="1"/>
    <n v="2434.25"/>
  </r>
  <r>
    <s v="USR_00170"/>
    <s v="B"/>
    <x v="1"/>
    <x v="3"/>
    <x v="1"/>
    <x v="1"/>
    <n v="4"/>
    <n v="0"/>
    <n v="0"/>
  </r>
  <r>
    <s v="USR_00171"/>
    <s v="B"/>
    <x v="1"/>
    <x v="1"/>
    <x v="0"/>
    <x v="0"/>
    <n v="6"/>
    <n v="0"/>
    <n v="0"/>
  </r>
  <r>
    <s v="USR_00172"/>
    <s v="A"/>
    <x v="0"/>
    <x v="3"/>
    <x v="1"/>
    <x v="1"/>
    <n v="4"/>
    <n v="0"/>
    <n v="0"/>
  </r>
  <r>
    <s v="USR_00173"/>
    <s v="B"/>
    <x v="1"/>
    <x v="1"/>
    <x v="0"/>
    <x v="0"/>
    <n v="6"/>
    <n v="0"/>
    <n v="0"/>
  </r>
  <r>
    <s v="USR_00174"/>
    <s v="A"/>
    <x v="0"/>
    <x v="3"/>
    <x v="0"/>
    <x v="0"/>
    <n v="3"/>
    <n v="0"/>
    <n v="0"/>
  </r>
  <r>
    <s v="USR_00175"/>
    <s v="B"/>
    <x v="1"/>
    <x v="0"/>
    <x v="0"/>
    <x v="0"/>
    <n v="3"/>
    <n v="0"/>
    <n v="0"/>
  </r>
  <r>
    <s v="USR_00176"/>
    <s v="A"/>
    <x v="0"/>
    <x v="3"/>
    <x v="1"/>
    <x v="1"/>
    <n v="6"/>
    <n v="0"/>
    <n v="0"/>
  </r>
  <r>
    <s v="USR_00177"/>
    <s v="B"/>
    <x v="1"/>
    <x v="3"/>
    <x v="0"/>
    <x v="0"/>
    <n v="5"/>
    <n v="0"/>
    <n v="0"/>
  </r>
  <r>
    <s v="USR_00178"/>
    <s v="A"/>
    <x v="0"/>
    <x v="3"/>
    <x v="0"/>
    <x v="0"/>
    <n v="10"/>
    <n v="1"/>
    <n v="1504.49"/>
  </r>
  <r>
    <s v="USR_00179"/>
    <s v="control"/>
    <x v="0"/>
    <x v="3"/>
    <x v="1"/>
    <x v="1"/>
    <n v="6"/>
    <n v="0"/>
    <n v="0"/>
  </r>
  <r>
    <s v="USR_00180"/>
    <s v="A"/>
    <x v="0"/>
    <x v="1"/>
    <x v="1"/>
    <x v="1"/>
    <n v="10"/>
    <n v="0"/>
    <n v="0"/>
  </r>
  <r>
    <s v="USR_00181"/>
    <s v="A"/>
    <x v="0"/>
    <x v="3"/>
    <x v="0"/>
    <x v="0"/>
    <n v="6"/>
    <n v="0"/>
    <n v="0"/>
  </r>
  <r>
    <s v="USR_00182"/>
    <s v="A"/>
    <x v="0"/>
    <x v="0"/>
    <x v="0"/>
    <x v="0"/>
    <n v="6"/>
    <n v="1"/>
    <n v="5454.99"/>
  </r>
  <r>
    <s v="USR_00183"/>
    <s v="control"/>
    <x v="0"/>
    <x v="3"/>
    <x v="0"/>
    <x v="0"/>
    <n v="4"/>
    <n v="0"/>
    <n v="0"/>
  </r>
  <r>
    <s v="USR_00184"/>
    <s v="B"/>
    <x v="1"/>
    <x v="3"/>
    <x v="1"/>
    <x v="1"/>
    <n v="4"/>
    <n v="0"/>
    <n v="0"/>
  </r>
  <r>
    <s v="USR_00185"/>
    <s v="A"/>
    <x v="0"/>
    <x v="3"/>
    <x v="1"/>
    <x v="1"/>
    <n v="2"/>
    <n v="0"/>
    <n v="0"/>
  </r>
  <r>
    <s v="USR_00186"/>
    <s v="B"/>
    <x v="1"/>
    <x v="3"/>
    <x v="1"/>
    <x v="1"/>
    <n v="6"/>
    <n v="0"/>
    <n v="0"/>
  </r>
  <r>
    <s v="USR_00187"/>
    <s v="B"/>
    <x v="1"/>
    <x v="3"/>
    <x v="1"/>
    <x v="1"/>
    <n v="3"/>
    <n v="0"/>
    <n v="0"/>
  </r>
  <r>
    <s v="USR_00188"/>
    <s v="B"/>
    <x v="1"/>
    <x v="3"/>
    <x v="0"/>
    <x v="0"/>
    <n v="7"/>
    <n v="0"/>
    <n v="0"/>
  </r>
  <r>
    <s v="USR_00189"/>
    <s v="B"/>
    <x v="1"/>
    <x v="1"/>
    <x v="1"/>
    <x v="1"/>
    <n v="5"/>
    <n v="0"/>
    <n v="0"/>
  </r>
  <r>
    <s v="USR_00190"/>
    <s v="A"/>
    <x v="0"/>
    <x v="3"/>
    <x v="0"/>
    <x v="0"/>
    <n v="5"/>
    <n v="0"/>
    <n v="0"/>
  </r>
  <r>
    <s v="USR_00191"/>
    <s v="A"/>
    <x v="0"/>
    <x v="1"/>
    <x v="0"/>
    <x v="0"/>
    <n v="7"/>
    <n v="0"/>
    <n v="0"/>
  </r>
  <r>
    <s v="USR_00192"/>
    <s v="B"/>
    <x v="1"/>
    <x v="1"/>
    <x v="1"/>
    <x v="1"/>
    <n v="5"/>
    <n v="0"/>
    <n v="0"/>
  </r>
  <r>
    <s v="USR_00193"/>
    <s v="B"/>
    <x v="1"/>
    <x v="3"/>
    <x v="1"/>
    <x v="1"/>
    <n v="4"/>
    <n v="0"/>
    <n v="0"/>
  </r>
  <r>
    <s v="USR_00194"/>
    <s v="B"/>
    <x v="1"/>
    <x v="1"/>
    <x v="1"/>
    <x v="1"/>
    <n v="8"/>
    <n v="1"/>
    <n v="1797.33"/>
  </r>
  <r>
    <s v="USR_00195"/>
    <s v="A"/>
    <x v="0"/>
    <x v="2"/>
    <x v="0"/>
    <x v="0"/>
    <n v="5"/>
    <n v="0"/>
    <n v="0"/>
  </r>
  <r>
    <s v="USR_00196"/>
    <s v="A"/>
    <x v="0"/>
    <x v="1"/>
    <x v="1"/>
    <x v="1"/>
    <n v="5"/>
    <n v="0"/>
    <n v="0"/>
  </r>
  <r>
    <s v="USR_00197"/>
    <s v="B"/>
    <x v="1"/>
    <x v="1"/>
    <x v="1"/>
    <x v="1"/>
    <n v="4"/>
    <n v="1"/>
    <n v="1717.41"/>
  </r>
  <r>
    <s v="USR_00198"/>
    <s v="B"/>
    <x v="1"/>
    <x v="3"/>
    <x v="0"/>
    <x v="0"/>
    <n v="6"/>
    <n v="1"/>
    <n v="2063.98"/>
  </r>
  <r>
    <s v="USR_00199"/>
    <s v="B"/>
    <x v="1"/>
    <x v="0"/>
    <x v="0"/>
    <x v="0"/>
    <n v="6"/>
    <n v="0"/>
    <n v="0"/>
  </r>
  <r>
    <s v="USR_00200"/>
    <s v="B"/>
    <x v="1"/>
    <x v="0"/>
    <x v="0"/>
    <x v="0"/>
    <n v="4"/>
    <n v="0"/>
    <n v="0"/>
  </r>
  <r>
    <s v="USR_00201"/>
    <s v="B"/>
    <x v="1"/>
    <x v="2"/>
    <x v="0"/>
    <x v="0"/>
    <n v="7"/>
    <n v="0"/>
    <n v="0"/>
  </r>
  <r>
    <s v="USR_00202"/>
    <s v="A"/>
    <x v="0"/>
    <x v="2"/>
    <x v="2"/>
    <x v="2"/>
    <n v="4"/>
    <n v="0"/>
    <n v="0"/>
  </r>
  <r>
    <s v="USR_00203"/>
    <s v="A"/>
    <x v="0"/>
    <x v="2"/>
    <x v="1"/>
    <x v="1"/>
    <n v="6"/>
    <n v="0"/>
    <n v="0"/>
  </r>
  <r>
    <s v="USR_00204"/>
    <s v="B"/>
    <x v="1"/>
    <x v="2"/>
    <x v="1"/>
    <x v="1"/>
    <n v="8"/>
    <n v="1"/>
    <n v="1461.5"/>
  </r>
  <r>
    <s v="USR_00205"/>
    <s v="B"/>
    <x v="1"/>
    <x v="2"/>
    <x v="2"/>
    <x v="2"/>
    <n v="4"/>
    <n v="0"/>
    <n v="0"/>
  </r>
  <r>
    <s v="USR_00206"/>
    <s v="A"/>
    <x v="0"/>
    <x v="2"/>
    <x v="0"/>
    <x v="0"/>
    <n v="3"/>
    <n v="0"/>
    <n v="0"/>
  </r>
  <r>
    <s v="USR_00207"/>
    <s v="A"/>
    <x v="0"/>
    <x v="2"/>
    <x v="1"/>
    <x v="1"/>
    <n v="7"/>
    <n v="0"/>
    <n v="0"/>
  </r>
  <r>
    <s v="USR_00208"/>
    <s v="B"/>
    <x v="1"/>
    <x v="2"/>
    <x v="0"/>
    <x v="0"/>
    <n v="4"/>
    <n v="0"/>
    <n v="0"/>
  </r>
  <r>
    <s v="USR_00209"/>
    <s v="A"/>
    <x v="0"/>
    <x v="2"/>
    <x v="0"/>
    <x v="0"/>
    <n v="8"/>
    <n v="0"/>
    <n v="0"/>
  </r>
  <r>
    <s v="USR_00210"/>
    <s v="A"/>
    <x v="0"/>
    <x v="2"/>
    <x v="0"/>
    <x v="0"/>
    <n v="9"/>
    <n v="0"/>
    <n v="0"/>
  </r>
  <r>
    <s v="USR_00211"/>
    <s v="B"/>
    <x v="1"/>
    <x v="2"/>
    <x v="1"/>
    <x v="1"/>
    <n v="6"/>
    <n v="0"/>
    <n v="0"/>
  </r>
  <r>
    <s v="USR_00212"/>
    <s v="B"/>
    <x v="1"/>
    <x v="2"/>
    <x v="0"/>
    <x v="0"/>
    <n v="6"/>
    <n v="0"/>
    <n v="0"/>
  </r>
  <r>
    <s v="USR_00213"/>
    <s v="B"/>
    <x v="1"/>
    <x v="2"/>
    <x v="0"/>
    <x v="0"/>
    <n v="7"/>
    <n v="0"/>
    <n v="0"/>
  </r>
  <r>
    <s v="USR_00214"/>
    <s v="A"/>
    <x v="0"/>
    <x v="2"/>
    <x v="1"/>
    <x v="1"/>
    <n v="11"/>
    <n v="1"/>
    <n v="1667.92"/>
  </r>
  <r>
    <s v="USR_00215"/>
    <s v="B"/>
    <x v="1"/>
    <x v="2"/>
    <x v="0"/>
    <x v="0"/>
    <n v="3"/>
    <n v="1"/>
    <n v="1444.3"/>
  </r>
  <r>
    <s v="USR_00216"/>
    <s v="A"/>
    <x v="0"/>
    <x v="2"/>
    <x v="1"/>
    <x v="1"/>
    <n v="8"/>
    <n v="1"/>
    <n v="1765.14"/>
  </r>
  <r>
    <s v="USR_00217"/>
    <s v="A"/>
    <x v="0"/>
    <x v="1"/>
    <x v="0"/>
    <x v="0"/>
    <n v="3"/>
    <n v="0"/>
    <n v="0"/>
  </r>
  <r>
    <s v="USR_00218"/>
    <s v="B"/>
    <x v="1"/>
    <x v="2"/>
    <x v="1"/>
    <x v="1"/>
    <n v="4"/>
    <n v="0"/>
    <n v="0"/>
  </r>
  <r>
    <s v="USR_00219"/>
    <s v="B"/>
    <x v="1"/>
    <x v="0"/>
    <x v="0"/>
    <x v="0"/>
    <n v="5"/>
    <n v="0"/>
    <n v="0"/>
  </r>
  <r>
    <s v="USR_00220"/>
    <s v="B"/>
    <x v="1"/>
    <x v="3"/>
    <x v="0"/>
    <x v="0"/>
    <n v="7"/>
    <n v="0"/>
    <n v="0"/>
  </r>
  <r>
    <s v="USR_00221"/>
    <s v="B"/>
    <x v="1"/>
    <x v="0"/>
    <x v="0"/>
    <x v="0"/>
    <n v="7"/>
    <n v="1"/>
    <n v="3830.02"/>
  </r>
  <r>
    <s v="USR_00222"/>
    <s v="B"/>
    <x v="1"/>
    <x v="0"/>
    <x v="0"/>
    <x v="0"/>
    <n v="5"/>
    <n v="0"/>
    <n v="0"/>
  </r>
  <r>
    <s v="USR_00223"/>
    <s v="A"/>
    <x v="0"/>
    <x v="0"/>
    <x v="0"/>
    <x v="0"/>
    <n v="10"/>
    <n v="0"/>
    <n v="0"/>
  </r>
  <r>
    <s v="USR_00224"/>
    <s v="A"/>
    <x v="0"/>
    <x v="1"/>
    <x v="0"/>
    <x v="0"/>
    <n v="3"/>
    <n v="0"/>
    <n v="0"/>
  </r>
  <r>
    <s v="USR_00225"/>
    <s v="A"/>
    <x v="0"/>
    <x v="3"/>
    <x v="0"/>
    <x v="0"/>
    <n v="2"/>
    <n v="0"/>
    <n v="0"/>
  </r>
  <r>
    <s v="USR_00226"/>
    <s v="A"/>
    <x v="0"/>
    <x v="3"/>
    <x v="0"/>
    <x v="0"/>
    <n v="5"/>
    <n v="0"/>
    <n v="0"/>
  </r>
  <r>
    <s v="USR_00227"/>
    <s v="variant_b"/>
    <x v="1"/>
    <x v="3"/>
    <x v="1"/>
    <x v="1"/>
    <n v="6"/>
    <n v="0"/>
    <n v="0"/>
  </r>
  <r>
    <s v="USR_00228"/>
    <s v="A"/>
    <x v="0"/>
    <x v="3"/>
    <x v="0"/>
    <x v="0"/>
    <n v="7"/>
    <n v="0"/>
    <n v="0"/>
  </r>
  <r>
    <s v="USR_00229"/>
    <s v="B"/>
    <x v="1"/>
    <x v="3"/>
    <x v="0"/>
    <x v="0"/>
    <n v="5"/>
    <n v="0"/>
    <n v="0"/>
  </r>
  <r>
    <s v="USR_00230"/>
    <s v="B"/>
    <x v="1"/>
    <x v="1"/>
    <x v="1"/>
    <x v="1"/>
    <n v="5"/>
    <n v="0"/>
    <n v="0"/>
  </r>
  <r>
    <s v="USR_00231"/>
    <s v="B"/>
    <x v="1"/>
    <x v="1"/>
    <x v="1"/>
    <x v="1"/>
    <n v="7"/>
    <n v="1"/>
    <n v="2697.02"/>
  </r>
  <r>
    <s v="USR_00232"/>
    <s v="B"/>
    <x v="1"/>
    <x v="1"/>
    <x v="0"/>
    <x v="0"/>
    <n v="8"/>
    <n v="0"/>
    <n v="0"/>
  </r>
  <r>
    <s v="USR_00233"/>
    <s v="B"/>
    <x v="1"/>
    <x v="3"/>
    <x v="1"/>
    <x v="1"/>
    <n v="2"/>
    <n v="0"/>
    <n v="0"/>
  </r>
  <r>
    <s v="USR_00234"/>
    <s v="B"/>
    <x v="1"/>
    <x v="2"/>
    <x v="0"/>
    <x v="0"/>
    <n v="10"/>
    <n v="1"/>
    <n v="1233.77"/>
  </r>
  <r>
    <s v="USR_00235"/>
    <s v="A"/>
    <x v="0"/>
    <x v="2"/>
    <x v="0"/>
    <x v="0"/>
    <n v="5"/>
    <n v="0"/>
    <n v="0"/>
  </r>
  <r>
    <s v="USR_00236"/>
    <s v="B"/>
    <x v="1"/>
    <x v="0"/>
    <x v="0"/>
    <x v="0"/>
    <n v="5"/>
    <n v="0"/>
    <n v="0"/>
  </r>
  <r>
    <s v="USR_00237"/>
    <s v="A"/>
    <x v="0"/>
    <x v="2"/>
    <x v="1"/>
    <x v="1"/>
    <n v="7"/>
    <n v="0"/>
    <n v="0"/>
  </r>
  <r>
    <s v="USR_00238"/>
    <s v="A"/>
    <x v="0"/>
    <x v="1"/>
    <x v="1"/>
    <x v="1"/>
    <n v="5"/>
    <n v="0"/>
    <n v="0"/>
  </r>
  <r>
    <s v="USR_00239"/>
    <s v="B"/>
    <x v="1"/>
    <x v="2"/>
    <x v="0"/>
    <x v="0"/>
    <n v="9"/>
    <n v="0"/>
    <n v="0"/>
  </r>
  <r>
    <s v="USR_00240"/>
    <s v="A"/>
    <x v="0"/>
    <x v="3"/>
    <x v="0"/>
    <x v="0"/>
    <n v="14"/>
    <n v="0"/>
    <n v="0"/>
  </r>
  <r>
    <s v="USR_00241"/>
    <s v="control"/>
    <x v="0"/>
    <x v="3"/>
    <x v="2"/>
    <x v="2"/>
    <n v="8"/>
    <n v="0"/>
    <n v="0"/>
  </r>
  <r>
    <s v="USR_00242"/>
    <s v="control"/>
    <x v="0"/>
    <x v="3"/>
    <x v="0"/>
    <x v="0"/>
    <n v="7"/>
    <n v="1"/>
    <n v="1535.12"/>
  </r>
  <r>
    <s v="USR_00243"/>
    <s v="B"/>
    <x v="1"/>
    <x v="3"/>
    <x v="0"/>
    <x v="0"/>
    <n v="5"/>
    <n v="0"/>
    <n v="0"/>
  </r>
  <r>
    <s v="USR_00244"/>
    <s v="A"/>
    <x v="0"/>
    <x v="3"/>
    <x v="1"/>
    <x v="1"/>
    <n v="10"/>
    <n v="0"/>
    <n v="0"/>
  </r>
  <r>
    <s v="USR_00245"/>
    <s v="A"/>
    <x v="0"/>
    <x v="1"/>
    <x v="1"/>
    <x v="1"/>
    <n v="6"/>
    <n v="0"/>
    <n v="0"/>
  </r>
  <r>
    <s v="USR_00246"/>
    <s v="control"/>
    <x v="0"/>
    <x v="0"/>
    <x v="1"/>
    <x v="1"/>
    <n v="3"/>
    <n v="0"/>
    <n v="0"/>
  </r>
  <r>
    <s v="USR_00247"/>
    <s v="A"/>
    <x v="0"/>
    <x v="1"/>
    <x v="1"/>
    <x v="1"/>
    <n v="3"/>
    <n v="0"/>
    <n v="0"/>
  </r>
  <r>
    <s v="USR_00248"/>
    <s v="variant_b"/>
    <x v="1"/>
    <x v="3"/>
    <x v="0"/>
    <x v="0"/>
    <n v="6"/>
    <n v="0"/>
    <n v="0"/>
  </r>
  <r>
    <s v="USR_00249"/>
    <s v="variant_b"/>
    <x v="1"/>
    <x v="0"/>
    <x v="0"/>
    <x v="0"/>
    <n v="7"/>
    <n v="0"/>
    <n v="0"/>
  </r>
  <r>
    <s v="USR_00250"/>
    <s v="B"/>
    <x v="1"/>
    <x v="1"/>
    <x v="0"/>
    <x v="0"/>
    <n v="9"/>
    <n v="0"/>
    <n v="0"/>
  </r>
  <r>
    <s v="USR_00251"/>
    <s v="A"/>
    <x v="0"/>
    <x v="3"/>
    <x v="0"/>
    <x v="0"/>
    <n v="8"/>
    <n v="0"/>
    <n v="0"/>
  </r>
  <r>
    <s v="USR_00252"/>
    <s v="A"/>
    <x v="0"/>
    <x v="1"/>
    <x v="1"/>
    <x v="1"/>
    <n v="5"/>
    <n v="0"/>
    <n v="0"/>
  </r>
  <r>
    <s v="USR_00253"/>
    <s v="B"/>
    <x v="1"/>
    <x v="3"/>
    <x v="1"/>
    <x v="1"/>
    <n v="10"/>
    <n v="0"/>
    <n v="0"/>
  </r>
  <r>
    <s v="USR_00254"/>
    <s v="A"/>
    <x v="0"/>
    <x v="3"/>
    <x v="0"/>
    <x v="0"/>
    <n v="4"/>
    <n v="0"/>
    <n v="0"/>
  </r>
  <r>
    <s v="USR_00255"/>
    <s v="A"/>
    <x v="0"/>
    <x v="0"/>
    <x v="0"/>
    <x v="0"/>
    <n v="7"/>
    <n v="1"/>
    <n v="4723.3500000000004"/>
  </r>
  <r>
    <s v="USR_00256"/>
    <s v="B"/>
    <x v="1"/>
    <x v="3"/>
    <x v="0"/>
    <x v="0"/>
    <n v="5"/>
    <n v="0"/>
    <n v="0"/>
  </r>
  <r>
    <s v="USR_00257"/>
    <s v="control"/>
    <x v="0"/>
    <x v="1"/>
    <x v="0"/>
    <x v="0"/>
    <n v="6"/>
    <n v="0"/>
    <n v="0"/>
  </r>
  <r>
    <s v="USR_00258"/>
    <s v="B"/>
    <x v="1"/>
    <x v="0"/>
    <x v="1"/>
    <x v="1"/>
    <n v="7"/>
    <n v="1"/>
    <n v="4975.29"/>
  </r>
  <r>
    <s v="USR_00259"/>
    <s v="B"/>
    <x v="1"/>
    <x v="1"/>
    <x v="0"/>
    <x v="0"/>
    <n v="4"/>
    <n v="0"/>
    <n v="0"/>
  </r>
  <r>
    <s v="USR_00260"/>
    <s v="A"/>
    <x v="0"/>
    <x v="3"/>
    <x v="0"/>
    <x v="0"/>
    <n v="7"/>
    <n v="0"/>
    <n v="0"/>
  </r>
  <r>
    <s v="USR_00261"/>
    <s v="B"/>
    <x v="1"/>
    <x v="3"/>
    <x v="0"/>
    <x v="0"/>
    <n v="4"/>
    <n v="0"/>
    <n v="0"/>
  </r>
  <r>
    <s v="USR_00262"/>
    <s v="variant_b"/>
    <x v="1"/>
    <x v="3"/>
    <x v="0"/>
    <x v="0"/>
    <n v="9"/>
    <n v="1"/>
    <n v="1351.49"/>
  </r>
  <r>
    <s v="USR_00263"/>
    <s v="A"/>
    <x v="0"/>
    <x v="1"/>
    <x v="1"/>
    <x v="1"/>
    <n v="10"/>
    <n v="0"/>
    <n v="0"/>
  </r>
  <r>
    <s v="USR_00264"/>
    <s v="B"/>
    <x v="1"/>
    <x v="1"/>
    <x v="0"/>
    <x v="0"/>
    <n v="4"/>
    <n v="0"/>
    <n v="0"/>
  </r>
  <r>
    <s v="USR_00265"/>
    <s v="B"/>
    <x v="1"/>
    <x v="3"/>
    <x v="2"/>
    <x v="2"/>
    <n v="5"/>
    <n v="0"/>
    <n v="0"/>
  </r>
  <r>
    <s v="USR_00266"/>
    <s v="B"/>
    <x v="1"/>
    <x v="2"/>
    <x v="0"/>
    <x v="0"/>
    <n v="8"/>
    <n v="0"/>
    <n v="0"/>
  </r>
  <r>
    <s v="USR_00267"/>
    <s v="B"/>
    <x v="1"/>
    <x v="1"/>
    <x v="0"/>
    <x v="0"/>
    <n v="10"/>
    <n v="0"/>
    <n v="0"/>
  </r>
  <r>
    <s v="USR_00268"/>
    <s v="B"/>
    <x v="1"/>
    <x v="3"/>
    <x v="0"/>
    <x v="0"/>
    <n v="8"/>
    <n v="0"/>
    <n v="0"/>
  </r>
  <r>
    <s v="USR_00269"/>
    <s v="A"/>
    <x v="0"/>
    <x v="1"/>
    <x v="0"/>
    <x v="0"/>
    <n v="9"/>
    <n v="1"/>
    <n v="2060.58"/>
  </r>
  <r>
    <s v="USR_00270"/>
    <s v="A"/>
    <x v="0"/>
    <x v="1"/>
    <x v="0"/>
    <x v="0"/>
    <n v="8"/>
    <n v="0"/>
    <n v="0"/>
  </r>
  <r>
    <s v="USR_00271"/>
    <s v="B"/>
    <x v="1"/>
    <x v="3"/>
    <x v="0"/>
    <x v="0"/>
    <n v="8"/>
    <n v="0"/>
    <n v="0"/>
  </r>
  <r>
    <s v="USR_00272"/>
    <s v="B"/>
    <x v="1"/>
    <x v="3"/>
    <x v="0"/>
    <x v="0"/>
    <n v="6"/>
    <n v="0"/>
    <n v="0"/>
  </r>
  <r>
    <s v="USR_00273"/>
    <s v="B"/>
    <x v="1"/>
    <x v="0"/>
    <x v="0"/>
    <x v="0"/>
    <n v="2"/>
    <n v="1"/>
    <n v="5085.8999999999996"/>
  </r>
  <r>
    <s v="USR_00274"/>
    <s v="B"/>
    <x v="1"/>
    <x v="1"/>
    <x v="1"/>
    <x v="1"/>
    <n v="9"/>
    <n v="0"/>
    <n v="0"/>
  </r>
  <r>
    <s v="USR_00275"/>
    <s v="B"/>
    <x v="1"/>
    <x v="1"/>
    <x v="0"/>
    <x v="0"/>
    <n v="2"/>
    <n v="0"/>
    <n v="0"/>
  </r>
  <r>
    <s v="USR_00276"/>
    <s v="B"/>
    <x v="1"/>
    <x v="1"/>
    <x v="0"/>
    <x v="0"/>
    <n v="2"/>
    <n v="0"/>
    <n v="0"/>
  </r>
  <r>
    <s v="USR_00277"/>
    <s v="B"/>
    <x v="1"/>
    <x v="3"/>
    <x v="0"/>
    <x v="0"/>
    <n v="4"/>
    <n v="1"/>
    <n v="1567.83"/>
  </r>
  <r>
    <s v="USR_00278"/>
    <s v="B"/>
    <x v="1"/>
    <x v="3"/>
    <x v="0"/>
    <x v="0"/>
    <n v="4"/>
    <n v="0"/>
    <n v="0"/>
  </r>
  <r>
    <s v="USR_00279"/>
    <s v="B"/>
    <x v="1"/>
    <x v="1"/>
    <x v="1"/>
    <x v="1"/>
    <n v="5"/>
    <n v="0"/>
    <n v="0"/>
  </r>
  <r>
    <s v="USR_00280"/>
    <s v="B"/>
    <x v="1"/>
    <x v="3"/>
    <x v="0"/>
    <x v="0"/>
    <n v="6"/>
    <n v="0"/>
    <n v="0"/>
  </r>
  <r>
    <s v="USR_00281"/>
    <s v="B"/>
    <x v="1"/>
    <x v="3"/>
    <x v="2"/>
    <x v="2"/>
    <n v="9"/>
    <n v="0"/>
    <n v="0"/>
  </r>
  <r>
    <s v="USR_00282"/>
    <s v="A"/>
    <x v="0"/>
    <x v="0"/>
    <x v="0"/>
    <x v="0"/>
    <n v="6"/>
    <n v="1"/>
    <n v="3736.88"/>
  </r>
  <r>
    <s v="USR_00283"/>
    <s v="A"/>
    <x v="0"/>
    <x v="2"/>
    <x v="0"/>
    <x v="0"/>
    <n v="4"/>
    <n v="0"/>
    <n v="0"/>
  </r>
  <r>
    <s v="USR_00284"/>
    <s v="A"/>
    <x v="0"/>
    <x v="0"/>
    <x v="0"/>
    <x v="0"/>
    <n v="5"/>
    <n v="0"/>
    <n v="0"/>
  </r>
  <r>
    <s v="USR_00285"/>
    <s v="B"/>
    <x v="1"/>
    <x v="0"/>
    <x v="0"/>
    <x v="0"/>
    <n v="5"/>
    <n v="0"/>
    <n v="0"/>
  </r>
  <r>
    <s v="USR_00286"/>
    <s v="A"/>
    <x v="0"/>
    <x v="3"/>
    <x v="1"/>
    <x v="1"/>
    <n v="5"/>
    <n v="0"/>
    <n v="0"/>
  </r>
  <r>
    <s v="USR_00287"/>
    <s v="B"/>
    <x v="1"/>
    <x v="2"/>
    <x v="2"/>
    <x v="2"/>
    <n v="12"/>
    <n v="0"/>
    <n v="0"/>
  </r>
  <r>
    <s v="USR_00288"/>
    <s v="B"/>
    <x v="1"/>
    <x v="3"/>
    <x v="0"/>
    <x v="0"/>
    <n v="5"/>
    <n v="0"/>
    <n v="0"/>
  </r>
  <r>
    <s v="USR_00289"/>
    <s v="A"/>
    <x v="0"/>
    <x v="2"/>
    <x v="0"/>
    <x v="0"/>
    <n v="5"/>
    <n v="1"/>
    <n v="878.18"/>
  </r>
  <r>
    <s v="USR_00290"/>
    <s v="B"/>
    <x v="1"/>
    <x v="2"/>
    <x v="1"/>
    <x v="1"/>
    <n v="4"/>
    <n v="0"/>
    <n v="0"/>
  </r>
  <r>
    <s v="USR_00291"/>
    <s v="A"/>
    <x v="0"/>
    <x v="1"/>
    <x v="0"/>
    <x v="0"/>
    <n v="7"/>
    <n v="0"/>
    <n v="0"/>
  </r>
  <r>
    <s v="USR_00292"/>
    <s v="A"/>
    <x v="0"/>
    <x v="2"/>
    <x v="0"/>
    <x v="0"/>
    <n v="7"/>
    <n v="0"/>
    <n v="0"/>
  </r>
  <r>
    <s v="USR_00293"/>
    <s v="B"/>
    <x v="1"/>
    <x v="1"/>
    <x v="0"/>
    <x v="0"/>
    <n v="4"/>
    <n v="0"/>
    <n v="0"/>
  </r>
  <r>
    <s v="USR_00294"/>
    <s v="A"/>
    <x v="0"/>
    <x v="3"/>
    <x v="0"/>
    <x v="0"/>
    <n v="7"/>
    <n v="0"/>
    <n v="0"/>
  </r>
  <r>
    <s v="USR_00295"/>
    <s v="A"/>
    <x v="0"/>
    <x v="1"/>
    <x v="1"/>
    <x v="1"/>
    <n v="6"/>
    <n v="0"/>
    <n v="0"/>
  </r>
  <r>
    <s v="USR_00296"/>
    <s v="B"/>
    <x v="1"/>
    <x v="1"/>
    <x v="0"/>
    <x v="0"/>
    <n v="8"/>
    <n v="0"/>
    <n v="0"/>
  </r>
  <r>
    <s v="USR_00297"/>
    <s v="B"/>
    <x v="1"/>
    <x v="3"/>
    <x v="0"/>
    <x v="0"/>
    <n v="4"/>
    <n v="0"/>
    <n v="0"/>
  </r>
  <r>
    <s v="USR_00298"/>
    <s v="A"/>
    <x v="0"/>
    <x v="1"/>
    <x v="1"/>
    <x v="1"/>
    <n v="4"/>
    <n v="1"/>
    <n v="3038.71"/>
  </r>
  <r>
    <s v="USR_00299"/>
    <s v="B"/>
    <x v="1"/>
    <x v="2"/>
    <x v="0"/>
    <x v="0"/>
    <n v="3"/>
    <n v="0"/>
    <n v="0"/>
  </r>
  <r>
    <s v="USR_00300"/>
    <s v="A"/>
    <x v="0"/>
    <x v="3"/>
    <x v="0"/>
    <x v="0"/>
    <n v="10"/>
    <n v="0"/>
    <n v="0"/>
  </r>
  <r>
    <s v="USR_00301"/>
    <s v="A"/>
    <x v="0"/>
    <x v="0"/>
    <x v="1"/>
    <x v="1"/>
    <n v="9"/>
    <n v="0"/>
    <n v="0"/>
  </r>
  <r>
    <s v="USR_00302"/>
    <s v="B"/>
    <x v="1"/>
    <x v="0"/>
    <x v="0"/>
    <x v="0"/>
    <n v="2"/>
    <n v="0"/>
    <n v="0"/>
  </r>
  <r>
    <s v="USR_00303"/>
    <s v="B"/>
    <x v="1"/>
    <x v="2"/>
    <x v="1"/>
    <x v="1"/>
    <n v="4"/>
    <n v="0"/>
    <n v="0"/>
  </r>
  <r>
    <s v="USR_00304"/>
    <s v="B"/>
    <x v="1"/>
    <x v="2"/>
    <x v="0"/>
    <x v="0"/>
    <n v="5"/>
    <n v="0"/>
    <n v="0"/>
  </r>
  <r>
    <s v="USR_00305"/>
    <s v="B"/>
    <x v="1"/>
    <x v="1"/>
    <x v="0"/>
    <x v="0"/>
    <n v="5"/>
    <n v="0"/>
    <n v="0"/>
  </r>
  <r>
    <s v="USR_00306"/>
    <s v="variant_b"/>
    <x v="1"/>
    <x v="2"/>
    <x v="1"/>
    <x v="1"/>
    <n v="6"/>
    <n v="0"/>
    <n v="0"/>
  </r>
  <r>
    <s v="USR_00307"/>
    <s v="B"/>
    <x v="1"/>
    <x v="1"/>
    <x v="0"/>
    <x v="0"/>
    <n v="3"/>
    <n v="0"/>
    <n v="0"/>
  </r>
  <r>
    <s v="USR_00308"/>
    <s v="A"/>
    <x v="0"/>
    <x v="3"/>
    <x v="0"/>
    <x v="0"/>
    <n v="5"/>
    <n v="0"/>
    <n v="0"/>
  </r>
  <r>
    <s v="USR_00309"/>
    <s v="B"/>
    <x v="1"/>
    <x v="1"/>
    <x v="0"/>
    <x v="0"/>
    <n v="10"/>
    <n v="0"/>
    <n v="0"/>
  </r>
  <r>
    <s v="USR_00310"/>
    <s v="A"/>
    <x v="0"/>
    <x v="1"/>
    <x v="0"/>
    <x v="0"/>
    <n v="5"/>
    <n v="0"/>
    <n v="0"/>
  </r>
  <r>
    <s v="USR_00311"/>
    <s v="A"/>
    <x v="0"/>
    <x v="3"/>
    <x v="0"/>
    <x v="0"/>
    <n v="4"/>
    <n v="0"/>
    <n v="0"/>
  </r>
  <r>
    <s v="USR_00312"/>
    <s v="A"/>
    <x v="0"/>
    <x v="1"/>
    <x v="1"/>
    <x v="1"/>
    <n v="6"/>
    <n v="0"/>
    <n v="0"/>
  </r>
  <r>
    <s v="USR_00313"/>
    <s v="A"/>
    <x v="0"/>
    <x v="1"/>
    <x v="1"/>
    <x v="1"/>
    <n v="3"/>
    <n v="0"/>
    <n v="0"/>
  </r>
  <r>
    <s v="USR_00314"/>
    <s v="variant_b"/>
    <x v="1"/>
    <x v="3"/>
    <x v="1"/>
    <x v="1"/>
    <n v="7"/>
    <n v="0"/>
    <n v="0"/>
  </r>
  <r>
    <s v="USR_00315"/>
    <s v="B"/>
    <x v="1"/>
    <x v="1"/>
    <x v="0"/>
    <x v="0"/>
    <n v="4"/>
    <n v="0"/>
    <n v="0"/>
  </r>
  <r>
    <s v="USR_00316"/>
    <s v="B"/>
    <x v="1"/>
    <x v="0"/>
    <x v="0"/>
    <x v="0"/>
    <n v="7"/>
    <n v="0"/>
    <n v="0"/>
  </r>
  <r>
    <s v="USR_00317"/>
    <s v="A"/>
    <x v="0"/>
    <x v="1"/>
    <x v="0"/>
    <x v="0"/>
    <n v="3"/>
    <n v="0"/>
    <n v="0"/>
  </r>
  <r>
    <s v="USR_00318"/>
    <s v="A"/>
    <x v="0"/>
    <x v="3"/>
    <x v="1"/>
    <x v="1"/>
    <n v="6"/>
    <n v="1"/>
    <n v="1495.55"/>
  </r>
  <r>
    <s v="USR_00319"/>
    <s v="A"/>
    <x v="0"/>
    <x v="3"/>
    <x v="0"/>
    <x v="0"/>
    <n v="6"/>
    <n v="0"/>
    <n v="0"/>
  </r>
  <r>
    <s v="USR_00320"/>
    <s v="A"/>
    <x v="0"/>
    <x v="3"/>
    <x v="1"/>
    <x v="1"/>
    <n v="4"/>
    <n v="0"/>
    <n v="0"/>
  </r>
  <r>
    <s v="USR_00321"/>
    <s v="B"/>
    <x v="1"/>
    <x v="2"/>
    <x v="0"/>
    <x v="0"/>
    <n v="8"/>
    <n v="1"/>
    <n v="1868.82"/>
  </r>
  <r>
    <s v="USR_00322"/>
    <s v="B"/>
    <x v="1"/>
    <x v="3"/>
    <x v="0"/>
    <x v="0"/>
    <n v="9"/>
    <n v="1"/>
    <n v="1452.29"/>
  </r>
  <r>
    <s v="USR_00323"/>
    <s v="B"/>
    <x v="1"/>
    <x v="1"/>
    <x v="0"/>
    <x v="0"/>
    <n v="1"/>
    <n v="0"/>
    <n v="0"/>
  </r>
  <r>
    <s v="USR_00324"/>
    <s v="A"/>
    <x v="0"/>
    <x v="3"/>
    <x v="2"/>
    <x v="2"/>
    <n v="6"/>
    <n v="0"/>
    <n v="0"/>
  </r>
  <r>
    <s v="USR_00325"/>
    <s v="control"/>
    <x v="0"/>
    <x v="3"/>
    <x v="0"/>
    <x v="0"/>
    <n v="4"/>
    <n v="0"/>
    <n v="0"/>
  </r>
  <r>
    <s v="USR_00326"/>
    <s v="B"/>
    <x v="1"/>
    <x v="0"/>
    <x v="1"/>
    <x v="1"/>
    <n v="9"/>
    <n v="0"/>
    <n v="0"/>
  </r>
  <r>
    <s v="USR_00327"/>
    <s v="B"/>
    <x v="1"/>
    <x v="1"/>
    <x v="0"/>
    <x v="0"/>
    <n v="6"/>
    <n v="0"/>
    <n v="0"/>
  </r>
  <r>
    <s v="USR_00328"/>
    <s v="B"/>
    <x v="1"/>
    <x v="3"/>
    <x v="0"/>
    <x v="0"/>
    <n v="4"/>
    <n v="0"/>
    <n v="0"/>
  </r>
  <r>
    <s v="USR_00329"/>
    <s v="A"/>
    <x v="0"/>
    <x v="1"/>
    <x v="0"/>
    <x v="0"/>
    <n v="6"/>
    <n v="0"/>
    <n v="0"/>
  </r>
  <r>
    <s v="USR_00330"/>
    <s v="A"/>
    <x v="0"/>
    <x v="3"/>
    <x v="0"/>
    <x v="0"/>
    <n v="3"/>
    <n v="0"/>
    <n v="0"/>
  </r>
  <r>
    <s v="USR_00331"/>
    <s v="A"/>
    <x v="0"/>
    <x v="1"/>
    <x v="0"/>
    <x v="0"/>
    <n v="6"/>
    <n v="0"/>
    <n v="0"/>
  </r>
  <r>
    <s v="USR_00332"/>
    <s v="B"/>
    <x v="1"/>
    <x v="1"/>
    <x v="0"/>
    <x v="0"/>
    <n v="10"/>
    <n v="0"/>
    <n v="0"/>
  </r>
  <r>
    <s v="USR_00333"/>
    <s v="A"/>
    <x v="0"/>
    <x v="3"/>
    <x v="0"/>
    <x v="0"/>
    <n v="8"/>
    <n v="0"/>
    <n v="0"/>
  </r>
  <r>
    <s v="USR_00334"/>
    <s v="A"/>
    <x v="0"/>
    <x v="3"/>
    <x v="0"/>
    <x v="0"/>
    <n v="7"/>
    <n v="0"/>
    <n v="0"/>
  </r>
  <r>
    <s v="USR_00335"/>
    <s v="A"/>
    <x v="0"/>
    <x v="3"/>
    <x v="1"/>
    <x v="1"/>
    <n v="2"/>
    <n v="0"/>
    <n v="0"/>
  </r>
  <r>
    <s v="USR_00336"/>
    <s v="A"/>
    <x v="0"/>
    <x v="0"/>
    <x v="1"/>
    <x v="1"/>
    <n v="2"/>
    <n v="0"/>
    <n v="0"/>
  </r>
  <r>
    <s v="USR_00337"/>
    <s v="B"/>
    <x v="1"/>
    <x v="2"/>
    <x v="0"/>
    <x v="0"/>
    <n v="9"/>
    <n v="0"/>
    <n v="0"/>
  </r>
  <r>
    <s v="USR_00338"/>
    <s v="B"/>
    <x v="1"/>
    <x v="3"/>
    <x v="1"/>
    <x v="1"/>
    <n v="9"/>
    <n v="0"/>
    <n v="0"/>
  </r>
  <r>
    <s v="USR_00339"/>
    <s v="B"/>
    <x v="1"/>
    <x v="1"/>
    <x v="1"/>
    <x v="1"/>
    <n v="10"/>
    <n v="0"/>
    <n v="0"/>
  </r>
  <r>
    <s v="USR_00340"/>
    <s v="A"/>
    <x v="0"/>
    <x v="3"/>
    <x v="0"/>
    <x v="0"/>
    <n v="10"/>
    <n v="0"/>
    <n v="0"/>
  </r>
  <r>
    <s v="USR_00341"/>
    <s v="B"/>
    <x v="1"/>
    <x v="3"/>
    <x v="1"/>
    <x v="1"/>
    <n v="3"/>
    <n v="0"/>
    <n v="0"/>
  </r>
  <r>
    <s v="USR_00342"/>
    <s v="B"/>
    <x v="1"/>
    <x v="1"/>
    <x v="1"/>
    <x v="1"/>
    <n v="8"/>
    <n v="0"/>
    <n v="0"/>
  </r>
  <r>
    <s v="USR_00343"/>
    <s v="A"/>
    <x v="0"/>
    <x v="0"/>
    <x v="0"/>
    <x v="0"/>
    <n v="8"/>
    <n v="0"/>
    <n v="0"/>
  </r>
  <r>
    <s v="USR_00344"/>
    <s v="A"/>
    <x v="0"/>
    <x v="2"/>
    <x v="0"/>
    <x v="0"/>
    <n v="8"/>
    <n v="0"/>
    <n v="0"/>
  </r>
  <r>
    <s v="USR_00345"/>
    <s v="A"/>
    <x v="0"/>
    <x v="1"/>
    <x v="1"/>
    <x v="1"/>
    <n v="5"/>
    <n v="0"/>
    <n v="0"/>
  </r>
  <r>
    <s v="USR_00346"/>
    <s v="B"/>
    <x v="1"/>
    <x v="3"/>
    <x v="1"/>
    <x v="1"/>
    <n v="4"/>
    <n v="1"/>
    <n v="1331.5"/>
  </r>
  <r>
    <s v="USR_00347"/>
    <s v="B"/>
    <x v="1"/>
    <x v="0"/>
    <x v="0"/>
    <x v="0"/>
    <n v="7"/>
    <n v="0"/>
    <n v="0"/>
  </r>
  <r>
    <s v="USR_00348"/>
    <s v="A"/>
    <x v="0"/>
    <x v="3"/>
    <x v="0"/>
    <x v="0"/>
    <n v="6"/>
    <n v="0"/>
    <n v="0"/>
  </r>
  <r>
    <s v="USR_00349"/>
    <s v="A"/>
    <x v="0"/>
    <x v="1"/>
    <x v="0"/>
    <x v="0"/>
    <n v="7"/>
    <n v="0"/>
    <n v="0"/>
  </r>
  <r>
    <s v="USR_00350"/>
    <s v="B"/>
    <x v="1"/>
    <x v="3"/>
    <x v="1"/>
    <x v="1"/>
    <n v="2"/>
    <n v="0"/>
    <n v="0"/>
  </r>
  <r>
    <s v="USR_00351"/>
    <s v="B"/>
    <x v="1"/>
    <x v="1"/>
    <x v="1"/>
    <x v="1"/>
    <n v="4"/>
    <n v="0"/>
    <n v="0"/>
  </r>
  <r>
    <s v="USR_00352"/>
    <s v="B"/>
    <x v="1"/>
    <x v="3"/>
    <x v="2"/>
    <x v="2"/>
    <n v="2"/>
    <n v="1"/>
    <n v="1297.8800000000001"/>
  </r>
  <r>
    <s v="USR_00353"/>
    <s v="B"/>
    <x v="1"/>
    <x v="3"/>
    <x v="0"/>
    <x v="0"/>
    <n v="6"/>
    <n v="0"/>
    <n v="0"/>
  </r>
  <r>
    <s v="USR_00354"/>
    <s v="A"/>
    <x v="0"/>
    <x v="0"/>
    <x v="1"/>
    <x v="1"/>
    <n v="4"/>
    <n v="0"/>
    <n v="0"/>
  </r>
  <r>
    <s v="USR_00355"/>
    <s v="A"/>
    <x v="0"/>
    <x v="3"/>
    <x v="1"/>
    <x v="1"/>
    <n v="8"/>
    <n v="1"/>
    <n v="1186.3900000000001"/>
  </r>
  <r>
    <s v="USR_00356"/>
    <s v="B"/>
    <x v="1"/>
    <x v="1"/>
    <x v="0"/>
    <x v="0"/>
    <n v="1"/>
    <n v="0"/>
    <n v="0"/>
  </r>
  <r>
    <s v="USR_00357"/>
    <s v="A"/>
    <x v="0"/>
    <x v="3"/>
    <x v="0"/>
    <x v="0"/>
    <n v="7"/>
    <n v="0"/>
    <n v="0"/>
  </r>
  <r>
    <s v="USR_00358"/>
    <s v="B"/>
    <x v="1"/>
    <x v="3"/>
    <x v="2"/>
    <x v="2"/>
    <n v="2"/>
    <n v="0"/>
    <n v="0"/>
  </r>
  <r>
    <s v="USR_00359"/>
    <s v="control"/>
    <x v="0"/>
    <x v="3"/>
    <x v="0"/>
    <x v="0"/>
    <n v="6"/>
    <n v="0"/>
    <n v="0"/>
  </r>
  <r>
    <s v="USR_00360"/>
    <s v="B"/>
    <x v="1"/>
    <x v="3"/>
    <x v="0"/>
    <x v="0"/>
    <n v="6"/>
    <n v="0"/>
    <n v="0"/>
  </r>
  <r>
    <s v="USR_00361"/>
    <s v="A"/>
    <x v="0"/>
    <x v="0"/>
    <x v="1"/>
    <x v="1"/>
    <n v="8"/>
    <n v="0"/>
    <n v="0"/>
  </r>
  <r>
    <s v="USR_00362"/>
    <s v="B"/>
    <x v="1"/>
    <x v="3"/>
    <x v="0"/>
    <x v="0"/>
    <n v="5"/>
    <n v="0"/>
    <n v="0"/>
  </r>
  <r>
    <s v="USR_00363"/>
    <s v="A"/>
    <x v="0"/>
    <x v="2"/>
    <x v="1"/>
    <x v="1"/>
    <n v="8"/>
    <n v="0"/>
    <n v="0"/>
  </r>
  <r>
    <s v="USR_00364"/>
    <s v="B"/>
    <x v="1"/>
    <x v="1"/>
    <x v="1"/>
    <x v="1"/>
    <n v="5"/>
    <n v="0"/>
    <n v="0"/>
  </r>
  <r>
    <s v="USR_00365"/>
    <s v="control"/>
    <x v="0"/>
    <x v="1"/>
    <x v="0"/>
    <x v="0"/>
    <n v="9"/>
    <n v="0"/>
    <n v="0"/>
  </r>
  <r>
    <s v="USR_00366"/>
    <s v="A"/>
    <x v="0"/>
    <x v="1"/>
    <x v="2"/>
    <x v="2"/>
    <n v="5"/>
    <n v="0"/>
    <n v="0"/>
  </r>
  <r>
    <s v="USR_00367"/>
    <s v="variant_b"/>
    <x v="1"/>
    <x v="1"/>
    <x v="1"/>
    <x v="1"/>
    <n v="8"/>
    <n v="0"/>
    <n v="0"/>
  </r>
  <r>
    <s v="USR_00368"/>
    <s v="B"/>
    <x v="1"/>
    <x v="1"/>
    <x v="0"/>
    <x v="0"/>
    <n v="2"/>
    <n v="0"/>
    <n v="0"/>
  </r>
  <r>
    <s v="USR_00369"/>
    <s v="A"/>
    <x v="0"/>
    <x v="3"/>
    <x v="1"/>
    <x v="1"/>
    <n v="3"/>
    <n v="0"/>
    <n v="0"/>
  </r>
  <r>
    <s v="USR_00370"/>
    <s v="A"/>
    <x v="0"/>
    <x v="3"/>
    <x v="0"/>
    <x v="0"/>
    <n v="2"/>
    <n v="0"/>
    <n v="0"/>
  </r>
  <r>
    <s v="USR_00371"/>
    <s v="A"/>
    <x v="0"/>
    <x v="0"/>
    <x v="0"/>
    <x v="0"/>
    <n v="6"/>
    <n v="1"/>
    <n v="6462.84"/>
  </r>
  <r>
    <s v="USR_00372"/>
    <s v="A"/>
    <x v="0"/>
    <x v="2"/>
    <x v="0"/>
    <x v="0"/>
    <n v="9"/>
    <n v="0"/>
    <n v="0"/>
  </r>
  <r>
    <s v="USR_00373"/>
    <s v="A"/>
    <x v="0"/>
    <x v="0"/>
    <x v="0"/>
    <x v="0"/>
    <n v="5"/>
    <n v="0"/>
    <n v="0"/>
  </r>
  <r>
    <s v="USR_00374"/>
    <s v="B"/>
    <x v="1"/>
    <x v="3"/>
    <x v="1"/>
    <x v="1"/>
    <n v="1"/>
    <n v="0"/>
    <n v="0"/>
  </r>
  <r>
    <s v="USR_00375"/>
    <s v="A"/>
    <x v="0"/>
    <x v="0"/>
    <x v="0"/>
    <x v="0"/>
    <n v="11"/>
    <n v="0"/>
    <n v="0"/>
  </r>
  <r>
    <s v="USR_00376"/>
    <s v="A"/>
    <x v="0"/>
    <x v="1"/>
    <x v="1"/>
    <x v="1"/>
    <n v="3"/>
    <n v="0"/>
    <n v="0"/>
  </r>
  <r>
    <s v="USR_00377"/>
    <s v="B"/>
    <x v="1"/>
    <x v="1"/>
    <x v="1"/>
    <x v="1"/>
    <n v="11"/>
    <n v="0"/>
    <n v="0"/>
  </r>
  <r>
    <s v="USR_00378"/>
    <s v="A"/>
    <x v="0"/>
    <x v="3"/>
    <x v="0"/>
    <x v="0"/>
    <n v="5"/>
    <n v="0"/>
    <n v="0"/>
  </r>
  <r>
    <s v="USR_00379"/>
    <s v="B"/>
    <x v="1"/>
    <x v="1"/>
    <x v="1"/>
    <x v="1"/>
    <n v="5"/>
    <n v="0"/>
    <n v="0"/>
  </r>
  <r>
    <s v="USR_00380"/>
    <s v="A"/>
    <x v="0"/>
    <x v="3"/>
    <x v="0"/>
    <x v="0"/>
    <n v="4"/>
    <n v="0"/>
    <n v="0"/>
  </r>
  <r>
    <s v="USR_00381"/>
    <s v="A"/>
    <x v="0"/>
    <x v="3"/>
    <x v="0"/>
    <x v="0"/>
    <n v="10"/>
    <n v="0"/>
    <n v="0"/>
  </r>
  <r>
    <s v="USR_00382"/>
    <s v="B"/>
    <x v="1"/>
    <x v="0"/>
    <x v="0"/>
    <x v="0"/>
    <n v="5"/>
    <n v="1"/>
    <n v="5583.87"/>
  </r>
  <r>
    <s v="USR_00383"/>
    <s v="B"/>
    <x v="1"/>
    <x v="3"/>
    <x v="0"/>
    <x v="0"/>
    <n v="4"/>
    <n v="0"/>
    <n v="0"/>
  </r>
  <r>
    <s v="USR_00384"/>
    <s v="B"/>
    <x v="1"/>
    <x v="3"/>
    <x v="0"/>
    <x v="0"/>
    <n v="3"/>
    <n v="0"/>
    <n v="0"/>
  </r>
  <r>
    <s v="USR_00385"/>
    <s v="B"/>
    <x v="1"/>
    <x v="3"/>
    <x v="1"/>
    <x v="1"/>
    <n v="4"/>
    <n v="0"/>
    <n v="0"/>
  </r>
  <r>
    <s v="USR_00386"/>
    <s v="B"/>
    <x v="1"/>
    <x v="2"/>
    <x v="0"/>
    <x v="0"/>
    <n v="7"/>
    <n v="0"/>
    <n v="0"/>
  </r>
  <r>
    <s v="USR_00387"/>
    <s v="A"/>
    <x v="0"/>
    <x v="1"/>
    <x v="0"/>
    <x v="0"/>
    <n v="3"/>
    <n v="0"/>
    <n v="0"/>
  </r>
  <r>
    <s v="USR_00388"/>
    <s v="A"/>
    <x v="0"/>
    <x v="3"/>
    <x v="1"/>
    <x v="1"/>
    <n v="4"/>
    <n v="0"/>
    <n v="0"/>
  </r>
  <r>
    <s v="USR_00389"/>
    <s v="B"/>
    <x v="1"/>
    <x v="0"/>
    <x v="1"/>
    <x v="1"/>
    <n v="10"/>
    <n v="1"/>
    <n v="6508.85"/>
  </r>
  <r>
    <s v="USR_00390"/>
    <s v="B"/>
    <x v="1"/>
    <x v="0"/>
    <x v="0"/>
    <x v="0"/>
    <n v="4"/>
    <n v="0"/>
    <n v="0"/>
  </r>
  <r>
    <s v="USR_00391"/>
    <s v="variant_b"/>
    <x v="1"/>
    <x v="3"/>
    <x v="0"/>
    <x v="0"/>
    <n v="8"/>
    <n v="0"/>
    <n v="0"/>
  </r>
  <r>
    <s v="USR_00392"/>
    <s v="A"/>
    <x v="0"/>
    <x v="1"/>
    <x v="1"/>
    <x v="1"/>
    <n v="5"/>
    <n v="0"/>
    <n v="0"/>
  </r>
  <r>
    <s v="USR_00393"/>
    <s v="A"/>
    <x v="0"/>
    <x v="0"/>
    <x v="0"/>
    <x v="0"/>
    <n v="3"/>
    <n v="0"/>
    <n v="0"/>
  </r>
  <r>
    <s v="USR_00394"/>
    <s v="B"/>
    <x v="1"/>
    <x v="1"/>
    <x v="1"/>
    <x v="1"/>
    <n v="9"/>
    <n v="0"/>
    <n v="0"/>
  </r>
  <r>
    <s v="USR_00395"/>
    <s v="A"/>
    <x v="0"/>
    <x v="3"/>
    <x v="1"/>
    <x v="1"/>
    <n v="6"/>
    <n v="0"/>
    <n v="0"/>
  </r>
  <r>
    <s v="USR_00396"/>
    <s v="control"/>
    <x v="0"/>
    <x v="0"/>
    <x v="0"/>
    <x v="0"/>
    <n v="8"/>
    <n v="1"/>
    <n v="5042.24"/>
  </r>
  <r>
    <s v="USR_00397"/>
    <s v="B"/>
    <x v="1"/>
    <x v="1"/>
    <x v="0"/>
    <x v="0"/>
    <n v="5"/>
    <n v="0"/>
    <n v="0"/>
  </r>
  <r>
    <s v="USR_00398"/>
    <s v="A"/>
    <x v="0"/>
    <x v="3"/>
    <x v="0"/>
    <x v="0"/>
    <n v="4"/>
    <n v="1"/>
    <n v="1336.95"/>
  </r>
  <r>
    <s v="USR_00399"/>
    <s v="B"/>
    <x v="1"/>
    <x v="1"/>
    <x v="0"/>
    <x v="0"/>
    <n v="8"/>
    <n v="0"/>
    <n v="0"/>
  </r>
  <r>
    <s v="USR_00400"/>
    <s v="B"/>
    <x v="1"/>
    <x v="3"/>
    <x v="0"/>
    <x v="0"/>
    <n v="4"/>
    <n v="0"/>
    <n v="0"/>
  </r>
  <r>
    <s v="USR_00401"/>
    <s v="A"/>
    <x v="0"/>
    <x v="3"/>
    <x v="0"/>
    <x v="0"/>
    <n v="7"/>
    <n v="0"/>
    <n v="0"/>
  </r>
  <r>
    <s v="USR_00402"/>
    <s v="B"/>
    <x v="1"/>
    <x v="1"/>
    <x v="1"/>
    <x v="1"/>
    <n v="7"/>
    <n v="1"/>
    <n v="2234.14"/>
  </r>
  <r>
    <s v="USR_00403"/>
    <s v="B"/>
    <x v="1"/>
    <x v="3"/>
    <x v="1"/>
    <x v="1"/>
    <n v="6"/>
    <n v="1"/>
    <n v="1468.78"/>
  </r>
  <r>
    <s v="USR_00404"/>
    <s v="B"/>
    <x v="1"/>
    <x v="3"/>
    <x v="0"/>
    <x v="0"/>
    <n v="5"/>
    <n v="0"/>
    <n v="0"/>
  </r>
  <r>
    <s v="USR_00405"/>
    <s v="A"/>
    <x v="0"/>
    <x v="1"/>
    <x v="0"/>
    <x v="0"/>
    <n v="9"/>
    <n v="0"/>
    <n v="0"/>
  </r>
  <r>
    <s v="USR_00406"/>
    <s v="B"/>
    <x v="1"/>
    <x v="3"/>
    <x v="0"/>
    <x v="0"/>
    <n v="7"/>
    <n v="0"/>
    <n v="0"/>
  </r>
  <r>
    <s v="USR_00407"/>
    <s v="A"/>
    <x v="0"/>
    <x v="2"/>
    <x v="1"/>
    <x v="1"/>
    <n v="10"/>
    <n v="0"/>
    <n v="0"/>
  </r>
  <r>
    <s v="USR_00408"/>
    <s v="A"/>
    <x v="0"/>
    <x v="3"/>
    <x v="0"/>
    <x v="0"/>
    <n v="4"/>
    <n v="0"/>
    <n v="0"/>
  </r>
  <r>
    <s v="USR_00409"/>
    <s v="B"/>
    <x v="1"/>
    <x v="3"/>
    <x v="0"/>
    <x v="0"/>
    <n v="2"/>
    <n v="0"/>
    <n v="0"/>
  </r>
  <r>
    <s v="USR_00410"/>
    <s v="A"/>
    <x v="0"/>
    <x v="3"/>
    <x v="1"/>
    <x v="1"/>
    <n v="9"/>
    <n v="0"/>
    <n v="0"/>
  </r>
  <r>
    <s v="USR_00411"/>
    <s v="A"/>
    <x v="0"/>
    <x v="3"/>
    <x v="1"/>
    <x v="1"/>
    <n v="10"/>
    <n v="1"/>
    <n v="1334.42"/>
  </r>
  <r>
    <s v="USR_00412"/>
    <s v="control"/>
    <x v="0"/>
    <x v="3"/>
    <x v="0"/>
    <x v="0"/>
    <n v="7"/>
    <n v="0"/>
    <n v="0"/>
  </r>
  <r>
    <s v="USR_00413"/>
    <s v="control"/>
    <x v="0"/>
    <x v="1"/>
    <x v="1"/>
    <x v="1"/>
    <n v="3"/>
    <n v="0"/>
    <n v="0"/>
  </r>
  <r>
    <s v="USR_00414"/>
    <s v="B"/>
    <x v="1"/>
    <x v="2"/>
    <x v="0"/>
    <x v="0"/>
    <n v="6"/>
    <n v="0"/>
    <n v="0"/>
  </r>
  <r>
    <s v="USR_00415"/>
    <s v="B"/>
    <x v="1"/>
    <x v="3"/>
    <x v="0"/>
    <x v="0"/>
    <n v="7"/>
    <n v="0"/>
    <n v="0"/>
  </r>
  <r>
    <s v="USR_00416"/>
    <s v="A"/>
    <x v="0"/>
    <x v="1"/>
    <x v="0"/>
    <x v="0"/>
    <n v="9"/>
    <n v="0"/>
    <n v="0"/>
  </r>
  <r>
    <s v="USR_00417"/>
    <s v="A"/>
    <x v="0"/>
    <x v="1"/>
    <x v="0"/>
    <x v="0"/>
    <n v="4"/>
    <n v="0"/>
    <n v="0"/>
  </r>
  <r>
    <s v="USR_00418"/>
    <s v="A"/>
    <x v="0"/>
    <x v="0"/>
    <x v="0"/>
    <x v="0"/>
    <n v="8"/>
    <n v="0"/>
    <n v="0"/>
  </r>
  <r>
    <s v="USR_00419"/>
    <s v="B"/>
    <x v="1"/>
    <x v="1"/>
    <x v="0"/>
    <x v="0"/>
    <n v="10"/>
    <n v="1"/>
    <n v="2007.66"/>
  </r>
  <r>
    <s v="USR_00420"/>
    <s v="B"/>
    <x v="1"/>
    <x v="3"/>
    <x v="0"/>
    <x v="0"/>
    <n v="9"/>
    <n v="0"/>
    <n v="0"/>
  </r>
  <r>
    <s v="USR_00421"/>
    <s v="B"/>
    <x v="1"/>
    <x v="3"/>
    <x v="0"/>
    <x v="0"/>
    <n v="8"/>
    <n v="0"/>
    <n v="0"/>
  </r>
  <r>
    <s v="USR_00422"/>
    <s v="B"/>
    <x v="1"/>
    <x v="1"/>
    <x v="0"/>
    <x v="0"/>
    <n v="7"/>
    <n v="0"/>
    <n v="0"/>
  </r>
  <r>
    <s v="USR_00423"/>
    <s v="A"/>
    <x v="0"/>
    <x v="0"/>
    <x v="2"/>
    <x v="2"/>
    <n v="6"/>
    <n v="0"/>
    <n v="0"/>
  </r>
  <r>
    <s v="USR_00424"/>
    <s v="B"/>
    <x v="1"/>
    <x v="3"/>
    <x v="0"/>
    <x v="0"/>
    <n v="7"/>
    <n v="0"/>
    <n v="0"/>
  </r>
  <r>
    <s v="USR_00425"/>
    <s v="A"/>
    <x v="0"/>
    <x v="3"/>
    <x v="0"/>
    <x v="0"/>
    <n v="8"/>
    <n v="0"/>
    <n v="0"/>
  </r>
  <r>
    <s v="USR_00426"/>
    <s v="B"/>
    <x v="1"/>
    <x v="0"/>
    <x v="1"/>
    <x v="1"/>
    <n v="4"/>
    <n v="0"/>
    <n v="0"/>
  </r>
  <r>
    <s v="USR_00427"/>
    <s v="A"/>
    <x v="0"/>
    <x v="0"/>
    <x v="2"/>
    <x v="2"/>
    <n v="7"/>
    <n v="1"/>
    <n v="5686.78"/>
  </r>
  <r>
    <s v="USR_00428"/>
    <s v="B"/>
    <x v="1"/>
    <x v="2"/>
    <x v="0"/>
    <x v="0"/>
    <n v="15"/>
    <n v="0"/>
    <n v="0"/>
  </r>
  <r>
    <s v="USR_00429"/>
    <s v="A"/>
    <x v="0"/>
    <x v="1"/>
    <x v="1"/>
    <x v="1"/>
    <n v="2"/>
    <n v="0"/>
    <n v="0"/>
  </r>
  <r>
    <s v="USR_00430"/>
    <s v="A"/>
    <x v="0"/>
    <x v="3"/>
    <x v="1"/>
    <x v="1"/>
    <n v="8"/>
    <n v="0"/>
    <n v="0"/>
  </r>
  <r>
    <s v="USR_00431"/>
    <s v="A"/>
    <x v="0"/>
    <x v="1"/>
    <x v="1"/>
    <x v="1"/>
    <n v="8"/>
    <n v="0"/>
    <n v="0"/>
  </r>
  <r>
    <s v="USR_00432"/>
    <s v="B"/>
    <x v="1"/>
    <x v="1"/>
    <x v="0"/>
    <x v="0"/>
    <n v="3"/>
    <n v="1"/>
    <n v="1660.53"/>
  </r>
  <r>
    <s v="USR_00433"/>
    <s v="B"/>
    <x v="1"/>
    <x v="3"/>
    <x v="1"/>
    <x v="1"/>
    <n v="5"/>
    <n v="0"/>
    <n v="0"/>
  </r>
  <r>
    <s v="USR_00434"/>
    <s v="A"/>
    <x v="0"/>
    <x v="1"/>
    <x v="0"/>
    <x v="0"/>
    <n v="4"/>
    <n v="0"/>
    <n v="0"/>
  </r>
  <r>
    <s v="USR_00435"/>
    <s v="A"/>
    <x v="0"/>
    <x v="1"/>
    <x v="1"/>
    <x v="1"/>
    <n v="4"/>
    <n v="0"/>
    <n v="0"/>
  </r>
  <r>
    <s v="USR_00436"/>
    <s v="B"/>
    <x v="1"/>
    <x v="3"/>
    <x v="1"/>
    <x v="1"/>
    <n v="3"/>
    <n v="0"/>
    <n v="0"/>
  </r>
  <r>
    <s v="USR_00437"/>
    <s v="A"/>
    <x v="0"/>
    <x v="0"/>
    <x v="0"/>
    <x v="0"/>
    <n v="4"/>
    <n v="0"/>
    <n v="0"/>
  </r>
  <r>
    <s v="USR_00438"/>
    <s v="B"/>
    <x v="1"/>
    <x v="1"/>
    <x v="0"/>
    <x v="0"/>
    <n v="6"/>
    <n v="0"/>
    <n v="0"/>
  </r>
  <r>
    <s v="USR_00439"/>
    <s v="B"/>
    <x v="1"/>
    <x v="2"/>
    <x v="0"/>
    <x v="0"/>
    <n v="11"/>
    <n v="0"/>
    <n v="0"/>
  </r>
  <r>
    <s v="USR_00440"/>
    <s v="A"/>
    <x v="0"/>
    <x v="3"/>
    <x v="0"/>
    <x v="0"/>
    <n v="4"/>
    <n v="0"/>
    <n v="0"/>
  </r>
  <r>
    <s v="USR_00441"/>
    <s v="A"/>
    <x v="0"/>
    <x v="3"/>
    <x v="0"/>
    <x v="0"/>
    <n v="6"/>
    <n v="0"/>
    <n v="0"/>
  </r>
  <r>
    <s v="USR_00442"/>
    <s v="variant_b"/>
    <x v="1"/>
    <x v="1"/>
    <x v="0"/>
    <x v="0"/>
    <n v="4"/>
    <n v="0"/>
    <n v="0"/>
  </r>
  <r>
    <s v="USR_00443"/>
    <s v="A"/>
    <x v="0"/>
    <x v="3"/>
    <x v="0"/>
    <x v="0"/>
    <n v="9"/>
    <n v="1"/>
    <n v="1290.6099999999999"/>
  </r>
  <r>
    <s v="USR_00444"/>
    <s v="A"/>
    <x v="0"/>
    <x v="1"/>
    <x v="1"/>
    <x v="1"/>
    <n v="8"/>
    <n v="0"/>
    <n v="0"/>
  </r>
  <r>
    <s v="USR_00445"/>
    <s v="B"/>
    <x v="1"/>
    <x v="1"/>
    <x v="0"/>
    <x v="0"/>
    <n v="3"/>
    <n v="0"/>
    <n v="0"/>
  </r>
  <r>
    <s v="USR_00446"/>
    <s v="control"/>
    <x v="0"/>
    <x v="3"/>
    <x v="0"/>
    <x v="0"/>
    <n v="13"/>
    <n v="0"/>
    <n v="0"/>
  </r>
  <r>
    <s v="USR_00447"/>
    <s v="variant_b"/>
    <x v="1"/>
    <x v="1"/>
    <x v="0"/>
    <x v="0"/>
    <n v="7"/>
    <n v="0"/>
    <n v="0"/>
  </r>
  <r>
    <s v="USR_00448"/>
    <s v="B"/>
    <x v="1"/>
    <x v="1"/>
    <x v="1"/>
    <x v="1"/>
    <n v="9"/>
    <n v="0"/>
    <n v="0"/>
  </r>
  <r>
    <s v="USR_00449"/>
    <s v="A"/>
    <x v="0"/>
    <x v="3"/>
    <x v="1"/>
    <x v="1"/>
    <n v="4"/>
    <n v="0"/>
    <n v="0"/>
  </r>
  <r>
    <s v="USR_00450"/>
    <s v="A"/>
    <x v="0"/>
    <x v="2"/>
    <x v="0"/>
    <x v="0"/>
    <n v="10"/>
    <n v="0"/>
    <n v="0"/>
  </r>
  <r>
    <s v="USR_00451"/>
    <s v="B"/>
    <x v="1"/>
    <x v="0"/>
    <x v="0"/>
    <x v="0"/>
    <n v="6"/>
    <n v="1"/>
    <n v="3099.37"/>
  </r>
  <r>
    <s v="USR_00452"/>
    <s v="B"/>
    <x v="1"/>
    <x v="1"/>
    <x v="0"/>
    <x v="0"/>
    <n v="9"/>
    <n v="0"/>
    <n v="0"/>
  </r>
  <r>
    <s v="USR_00453"/>
    <s v="A"/>
    <x v="0"/>
    <x v="1"/>
    <x v="0"/>
    <x v="0"/>
    <n v="9"/>
    <n v="0"/>
    <n v="0"/>
  </r>
  <r>
    <s v="USR_00454"/>
    <s v="B"/>
    <x v="1"/>
    <x v="1"/>
    <x v="0"/>
    <x v="0"/>
    <n v="9"/>
    <n v="0"/>
    <n v="0"/>
  </r>
  <r>
    <s v="USR_00455"/>
    <s v="A"/>
    <x v="0"/>
    <x v="2"/>
    <x v="1"/>
    <x v="1"/>
    <n v="11"/>
    <n v="0"/>
    <n v="0"/>
  </r>
  <r>
    <s v="USR_00456"/>
    <s v="B"/>
    <x v="1"/>
    <x v="1"/>
    <x v="0"/>
    <x v="0"/>
    <n v="4"/>
    <n v="0"/>
    <n v="0"/>
  </r>
  <r>
    <s v="USR_00457"/>
    <s v="A"/>
    <x v="0"/>
    <x v="1"/>
    <x v="0"/>
    <x v="0"/>
    <n v="5"/>
    <n v="0"/>
    <n v="0"/>
  </r>
  <r>
    <s v="USR_00458"/>
    <s v="B"/>
    <x v="1"/>
    <x v="0"/>
    <x v="0"/>
    <x v="0"/>
    <n v="2"/>
    <n v="0"/>
    <n v="0"/>
  </r>
  <r>
    <s v="USR_00459"/>
    <s v="A"/>
    <x v="0"/>
    <x v="3"/>
    <x v="2"/>
    <x v="2"/>
    <n v="7"/>
    <n v="0"/>
    <n v="0"/>
  </r>
  <r>
    <s v="USR_00460"/>
    <s v="A"/>
    <x v="0"/>
    <x v="0"/>
    <x v="1"/>
    <x v="1"/>
    <n v="5"/>
    <n v="0"/>
    <n v="0"/>
  </r>
  <r>
    <s v="USR_00461"/>
    <s v="A"/>
    <x v="0"/>
    <x v="3"/>
    <x v="1"/>
    <x v="1"/>
    <n v="8"/>
    <n v="0"/>
    <n v="0"/>
  </r>
  <r>
    <s v="USR_00462"/>
    <s v="B"/>
    <x v="1"/>
    <x v="3"/>
    <x v="0"/>
    <x v="0"/>
    <n v="5"/>
    <n v="1"/>
    <n v="1611.46"/>
  </r>
  <r>
    <s v="USR_00463"/>
    <s v="B"/>
    <x v="1"/>
    <x v="3"/>
    <x v="0"/>
    <x v="0"/>
    <n v="6"/>
    <n v="0"/>
    <n v="0"/>
  </r>
  <r>
    <s v="USR_00464"/>
    <s v="B"/>
    <x v="1"/>
    <x v="2"/>
    <x v="0"/>
    <x v="0"/>
    <n v="5"/>
    <n v="0"/>
    <n v="0"/>
  </r>
  <r>
    <s v="USR_00465"/>
    <s v="variant_b"/>
    <x v="1"/>
    <x v="0"/>
    <x v="0"/>
    <x v="0"/>
    <n v="2"/>
    <n v="0"/>
    <n v="0"/>
  </r>
  <r>
    <s v="USR_00466"/>
    <s v="A"/>
    <x v="0"/>
    <x v="1"/>
    <x v="0"/>
    <x v="0"/>
    <n v="7"/>
    <n v="0"/>
    <n v="0"/>
  </r>
  <r>
    <s v="USR_00467"/>
    <s v="A"/>
    <x v="0"/>
    <x v="1"/>
    <x v="1"/>
    <x v="1"/>
    <n v="9"/>
    <n v="0"/>
    <n v="0"/>
  </r>
  <r>
    <s v="USR_00468"/>
    <s v="B"/>
    <x v="1"/>
    <x v="1"/>
    <x v="0"/>
    <x v="0"/>
    <n v="5"/>
    <n v="0"/>
    <n v="0"/>
  </r>
  <r>
    <s v="USR_00469"/>
    <s v="A"/>
    <x v="0"/>
    <x v="2"/>
    <x v="0"/>
    <x v="0"/>
    <n v="5"/>
    <n v="0"/>
    <n v="0"/>
  </r>
  <r>
    <s v="USR_00470"/>
    <s v="variant_b"/>
    <x v="1"/>
    <x v="1"/>
    <x v="0"/>
    <x v="0"/>
    <n v="7"/>
    <n v="1"/>
    <n v="1910.84"/>
  </r>
  <r>
    <s v="USR_00471"/>
    <s v="A"/>
    <x v="0"/>
    <x v="3"/>
    <x v="1"/>
    <x v="1"/>
    <n v="4"/>
    <n v="0"/>
    <n v="0"/>
  </r>
  <r>
    <s v="USR_00472"/>
    <s v="variant_b"/>
    <x v="1"/>
    <x v="3"/>
    <x v="0"/>
    <x v="0"/>
    <n v="9"/>
    <n v="0"/>
    <n v="0"/>
  </r>
  <r>
    <s v="USR_00473"/>
    <s v="A"/>
    <x v="0"/>
    <x v="0"/>
    <x v="0"/>
    <x v="0"/>
    <n v="1"/>
    <n v="0"/>
    <n v="0"/>
  </r>
  <r>
    <s v="USR_00474"/>
    <s v="B"/>
    <x v="1"/>
    <x v="1"/>
    <x v="1"/>
    <x v="1"/>
    <n v="9"/>
    <n v="0"/>
    <n v="0"/>
  </r>
  <r>
    <s v="USR_00475"/>
    <s v="B"/>
    <x v="1"/>
    <x v="3"/>
    <x v="0"/>
    <x v="0"/>
    <n v="1"/>
    <n v="0"/>
    <n v="0"/>
  </r>
  <r>
    <s v="USR_00476"/>
    <s v="variant_b"/>
    <x v="1"/>
    <x v="3"/>
    <x v="0"/>
    <x v="0"/>
    <n v="6"/>
    <n v="0"/>
    <n v="0"/>
  </r>
  <r>
    <s v="USR_00477"/>
    <s v="A"/>
    <x v="0"/>
    <x v="0"/>
    <x v="0"/>
    <x v="0"/>
    <n v="5"/>
    <n v="0"/>
    <n v="0"/>
  </r>
  <r>
    <s v="USR_00478"/>
    <s v="B"/>
    <x v="1"/>
    <x v="3"/>
    <x v="1"/>
    <x v="1"/>
    <n v="5"/>
    <n v="0"/>
    <n v="0"/>
  </r>
  <r>
    <s v="USR_00479"/>
    <s v="variant_b"/>
    <x v="1"/>
    <x v="1"/>
    <x v="1"/>
    <x v="1"/>
    <n v="10"/>
    <n v="0"/>
    <n v="0"/>
  </r>
  <r>
    <s v="USR_00480"/>
    <s v="B"/>
    <x v="1"/>
    <x v="2"/>
    <x v="0"/>
    <x v="0"/>
    <n v="3"/>
    <n v="0"/>
    <n v="0"/>
  </r>
  <r>
    <s v="USR_00481"/>
    <s v="B"/>
    <x v="1"/>
    <x v="1"/>
    <x v="1"/>
    <x v="1"/>
    <n v="4"/>
    <n v="0"/>
    <n v="0"/>
  </r>
  <r>
    <s v="USR_00482"/>
    <s v="B"/>
    <x v="1"/>
    <x v="3"/>
    <x v="0"/>
    <x v="0"/>
    <n v="6"/>
    <n v="0"/>
    <n v="0"/>
  </r>
  <r>
    <s v="USR_00483"/>
    <s v="A"/>
    <x v="0"/>
    <x v="1"/>
    <x v="0"/>
    <x v="0"/>
    <n v="10"/>
    <n v="0"/>
    <n v="0"/>
  </r>
  <r>
    <s v="USR_00484"/>
    <s v="B"/>
    <x v="1"/>
    <x v="0"/>
    <x v="1"/>
    <x v="1"/>
    <n v="8"/>
    <n v="1"/>
    <n v="5391.78"/>
  </r>
  <r>
    <s v="USR_00485"/>
    <s v="B"/>
    <x v="1"/>
    <x v="1"/>
    <x v="1"/>
    <x v="1"/>
    <n v="7"/>
    <n v="0"/>
    <n v="0"/>
  </r>
  <r>
    <s v="USR_00486"/>
    <s v="B"/>
    <x v="1"/>
    <x v="2"/>
    <x v="2"/>
    <x v="2"/>
    <n v="4"/>
    <n v="1"/>
    <n v="1332.01"/>
  </r>
  <r>
    <s v="USR_00487"/>
    <s v="A"/>
    <x v="0"/>
    <x v="3"/>
    <x v="0"/>
    <x v="0"/>
    <n v="6"/>
    <n v="0"/>
    <n v="0"/>
  </r>
  <r>
    <s v="USR_00488"/>
    <s v="A"/>
    <x v="0"/>
    <x v="1"/>
    <x v="1"/>
    <x v="1"/>
    <n v="6"/>
    <n v="0"/>
    <n v="0"/>
  </r>
  <r>
    <s v="USR_00489"/>
    <s v="control"/>
    <x v="0"/>
    <x v="1"/>
    <x v="1"/>
    <x v="1"/>
    <n v="5"/>
    <n v="0"/>
    <n v="0"/>
  </r>
  <r>
    <s v="USR_00490"/>
    <s v="B"/>
    <x v="1"/>
    <x v="0"/>
    <x v="1"/>
    <x v="1"/>
    <n v="4"/>
    <n v="1"/>
    <n v="4632.2299999999996"/>
  </r>
  <r>
    <s v="USR_00491"/>
    <s v="A"/>
    <x v="0"/>
    <x v="3"/>
    <x v="0"/>
    <x v="0"/>
    <n v="4"/>
    <n v="1"/>
    <n v="1613.44"/>
  </r>
  <r>
    <s v="USR_00492"/>
    <s v="B"/>
    <x v="1"/>
    <x v="0"/>
    <x v="1"/>
    <x v="1"/>
    <n v="5"/>
    <n v="0"/>
    <n v="0"/>
  </r>
  <r>
    <s v="USR_00493"/>
    <s v="A"/>
    <x v="0"/>
    <x v="1"/>
    <x v="1"/>
    <x v="1"/>
    <n v="7"/>
    <n v="0"/>
    <n v="0"/>
  </r>
  <r>
    <s v="USR_00494"/>
    <s v="A"/>
    <x v="0"/>
    <x v="3"/>
    <x v="0"/>
    <x v="0"/>
    <n v="5"/>
    <n v="0"/>
    <n v="0"/>
  </r>
  <r>
    <s v="USR_00495"/>
    <s v="B"/>
    <x v="1"/>
    <x v="3"/>
    <x v="0"/>
    <x v="0"/>
    <n v="6"/>
    <n v="1"/>
    <n v="1427.82"/>
  </r>
  <r>
    <s v="USR_00496"/>
    <s v="A"/>
    <x v="0"/>
    <x v="0"/>
    <x v="0"/>
    <x v="0"/>
    <n v="8"/>
    <n v="0"/>
    <n v="0"/>
  </r>
  <r>
    <s v="USR_00497"/>
    <s v="B"/>
    <x v="1"/>
    <x v="3"/>
    <x v="1"/>
    <x v="1"/>
    <n v="5"/>
    <n v="0"/>
    <n v="0"/>
  </r>
  <r>
    <s v="USR_00498"/>
    <s v="A"/>
    <x v="0"/>
    <x v="3"/>
    <x v="0"/>
    <x v="0"/>
    <n v="4"/>
    <n v="0"/>
    <n v="0"/>
  </r>
  <r>
    <s v="USR_00499"/>
    <s v="variant_b"/>
    <x v="1"/>
    <x v="3"/>
    <x v="1"/>
    <x v="1"/>
    <n v="6"/>
    <n v="0"/>
    <n v="0"/>
  </r>
  <r>
    <s v="USR_00500"/>
    <s v="variant_b"/>
    <x v="1"/>
    <x v="0"/>
    <x v="1"/>
    <x v="1"/>
    <n v="7"/>
    <n v="0"/>
    <n v="0"/>
  </r>
  <r>
    <s v="USR_00501"/>
    <s v="B"/>
    <x v="1"/>
    <x v="1"/>
    <x v="0"/>
    <x v="0"/>
    <n v="7"/>
    <n v="0"/>
    <n v="0"/>
  </r>
  <r>
    <s v="USR_00502"/>
    <s v="B"/>
    <x v="1"/>
    <x v="0"/>
    <x v="0"/>
    <x v="0"/>
    <n v="8"/>
    <n v="0"/>
    <n v="0"/>
  </r>
  <r>
    <s v="USR_00503"/>
    <s v="A"/>
    <x v="0"/>
    <x v="3"/>
    <x v="0"/>
    <x v="0"/>
    <n v="9"/>
    <n v="0"/>
    <n v="0"/>
  </r>
  <r>
    <s v="USR_00504"/>
    <s v="B"/>
    <x v="1"/>
    <x v="1"/>
    <x v="0"/>
    <x v="0"/>
    <n v="1"/>
    <n v="0"/>
    <n v="0"/>
  </r>
  <r>
    <s v="USR_00505"/>
    <s v="B"/>
    <x v="1"/>
    <x v="1"/>
    <x v="0"/>
    <x v="0"/>
    <n v="12"/>
    <n v="0"/>
    <n v="0"/>
  </r>
  <r>
    <s v="USR_00506"/>
    <s v="A"/>
    <x v="0"/>
    <x v="0"/>
    <x v="0"/>
    <x v="0"/>
    <n v="3"/>
    <n v="1"/>
    <n v="3774.49"/>
  </r>
  <r>
    <s v="USR_00507"/>
    <s v="B"/>
    <x v="1"/>
    <x v="0"/>
    <x v="0"/>
    <x v="0"/>
    <n v="13"/>
    <n v="0"/>
    <n v="0"/>
  </r>
  <r>
    <s v="USR_00508"/>
    <s v="B"/>
    <x v="1"/>
    <x v="3"/>
    <x v="0"/>
    <x v="0"/>
    <n v="7"/>
    <n v="1"/>
    <n v="1046.92"/>
  </r>
  <r>
    <s v="USR_00509"/>
    <s v="control"/>
    <x v="0"/>
    <x v="1"/>
    <x v="0"/>
    <x v="0"/>
    <n v="3"/>
    <n v="0"/>
    <n v="0"/>
  </r>
  <r>
    <s v="USR_00510"/>
    <s v="B"/>
    <x v="1"/>
    <x v="3"/>
    <x v="0"/>
    <x v="0"/>
    <n v="1"/>
    <n v="0"/>
    <n v="0"/>
  </r>
  <r>
    <s v="USR_00511"/>
    <s v="B"/>
    <x v="1"/>
    <x v="1"/>
    <x v="0"/>
    <x v="0"/>
    <n v="12"/>
    <n v="1"/>
    <n v="3188.45"/>
  </r>
  <r>
    <s v="USR_00512"/>
    <s v="A"/>
    <x v="0"/>
    <x v="3"/>
    <x v="1"/>
    <x v="1"/>
    <n v="4"/>
    <n v="0"/>
    <n v="0"/>
  </r>
  <r>
    <s v="USR_00513"/>
    <s v="control"/>
    <x v="0"/>
    <x v="3"/>
    <x v="0"/>
    <x v="0"/>
    <n v="2"/>
    <n v="0"/>
    <n v="0"/>
  </r>
  <r>
    <s v="USR_00514"/>
    <s v="B"/>
    <x v="1"/>
    <x v="3"/>
    <x v="1"/>
    <x v="1"/>
    <n v="8"/>
    <n v="0"/>
    <n v="0"/>
  </r>
  <r>
    <s v="USR_00515"/>
    <s v="A"/>
    <x v="0"/>
    <x v="1"/>
    <x v="0"/>
    <x v="0"/>
    <n v="3"/>
    <n v="0"/>
    <n v="0"/>
  </r>
  <r>
    <s v="USR_00516"/>
    <s v="A"/>
    <x v="0"/>
    <x v="3"/>
    <x v="1"/>
    <x v="1"/>
    <n v="4"/>
    <n v="1"/>
    <n v="1102.54"/>
  </r>
  <r>
    <s v="USR_00517"/>
    <s v="A"/>
    <x v="0"/>
    <x v="1"/>
    <x v="1"/>
    <x v="1"/>
    <n v="4"/>
    <n v="0"/>
    <n v="0"/>
  </r>
  <r>
    <s v="USR_00518"/>
    <s v="B"/>
    <x v="1"/>
    <x v="3"/>
    <x v="1"/>
    <x v="1"/>
    <n v="6"/>
    <n v="0"/>
    <n v="0"/>
  </r>
  <r>
    <s v="USR_00519"/>
    <s v="variant_b"/>
    <x v="1"/>
    <x v="3"/>
    <x v="0"/>
    <x v="0"/>
    <n v="9"/>
    <n v="0"/>
    <n v="0"/>
  </r>
  <r>
    <s v="USR_00520"/>
    <s v="A"/>
    <x v="0"/>
    <x v="0"/>
    <x v="1"/>
    <x v="1"/>
    <n v="10"/>
    <n v="0"/>
    <n v="0"/>
  </r>
  <r>
    <s v="USR_00521"/>
    <s v="B"/>
    <x v="1"/>
    <x v="3"/>
    <x v="0"/>
    <x v="0"/>
    <n v="7"/>
    <n v="0"/>
    <n v="0"/>
  </r>
  <r>
    <s v="USR_00522"/>
    <s v="A"/>
    <x v="0"/>
    <x v="1"/>
    <x v="1"/>
    <x v="1"/>
    <n v="6"/>
    <n v="0"/>
    <n v="0"/>
  </r>
  <r>
    <s v="USR_00523"/>
    <s v="variant_b"/>
    <x v="1"/>
    <x v="1"/>
    <x v="1"/>
    <x v="1"/>
    <n v="5"/>
    <n v="1"/>
    <n v="1367"/>
  </r>
  <r>
    <s v="USR_00524"/>
    <s v="B"/>
    <x v="1"/>
    <x v="3"/>
    <x v="0"/>
    <x v="0"/>
    <n v="10"/>
    <n v="0"/>
    <n v="0"/>
  </r>
  <r>
    <s v="USR_00525"/>
    <s v="B"/>
    <x v="1"/>
    <x v="3"/>
    <x v="1"/>
    <x v="1"/>
    <n v="8"/>
    <n v="0"/>
    <n v="0"/>
  </r>
  <r>
    <s v="USR_00526"/>
    <s v="B"/>
    <x v="1"/>
    <x v="3"/>
    <x v="0"/>
    <x v="0"/>
    <n v="5"/>
    <n v="0"/>
    <n v="0"/>
  </r>
  <r>
    <s v="USR_00527"/>
    <s v="A"/>
    <x v="0"/>
    <x v="2"/>
    <x v="1"/>
    <x v="1"/>
    <n v="8"/>
    <n v="0"/>
    <n v="0"/>
  </r>
  <r>
    <s v="USR_00528"/>
    <s v="A"/>
    <x v="0"/>
    <x v="1"/>
    <x v="0"/>
    <x v="0"/>
    <n v="6"/>
    <n v="0"/>
    <n v="0"/>
  </r>
  <r>
    <s v="USR_00529"/>
    <s v="A"/>
    <x v="0"/>
    <x v="1"/>
    <x v="0"/>
    <x v="0"/>
    <n v="8"/>
    <n v="0"/>
    <n v="0"/>
  </r>
  <r>
    <s v="USR_00530"/>
    <s v="B"/>
    <x v="1"/>
    <x v="1"/>
    <x v="0"/>
    <x v="0"/>
    <n v="8"/>
    <n v="0"/>
    <n v="0"/>
  </r>
  <r>
    <s v="USR_00531"/>
    <s v="B"/>
    <x v="1"/>
    <x v="3"/>
    <x v="1"/>
    <x v="1"/>
    <n v="6"/>
    <n v="0"/>
    <n v="0"/>
  </r>
  <r>
    <s v="USR_00532"/>
    <s v="variant_b"/>
    <x v="1"/>
    <x v="3"/>
    <x v="0"/>
    <x v="0"/>
    <n v="5"/>
    <n v="0"/>
    <n v="0"/>
  </r>
  <r>
    <s v="USR_00533"/>
    <s v="variant_b"/>
    <x v="1"/>
    <x v="1"/>
    <x v="1"/>
    <x v="1"/>
    <n v="10"/>
    <n v="0"/>
    <n v="0"/>
  </r>
  <r>
    <s v="USR_00534"/>
    <s v="B"/>
    <x v="1"/>
    <x v="3"/>
    <x v="1"/>
    <x v="1"/>
    <n v="4"/>
    <n v="0"/>
    <n v="0"/>
  </r>
  <r>
    <s v="USR_00535"/>
    <s v="B"/>
    <x v="1"/>
    <x v="3"/>
    <x v="0"/>
    <x v="0"/>
    <n v="6"/>
    <n v="0"/>
    <n v="0"/>
  </r>
  <r>
    <s v="USR_00536"/>
    <s v="control"/>
    <x v="0"/>
    <x v="3"/>
    <x v="0"/>
    <x v="0"/>
    <n v="10"/>
    <n v="0"/>
    <n v="0"/>
  </r>
  <r>
    <s v="USR_00537"/>
    <s v="B"/>
    <x v="1"/>
    <x v="1"/>
    <x v="0"/>
    <x v="0"/>
    <n v="6"/>
    <n v="1"/>
    <n v="2382.6999999999998"/>
  </r>
  <r>
    <s v="USR_00538"/>
    <s v="A"/>
    <x v="0"/>
    <x v="2"/>
    <x v="0"/>
    <x v="0"/>
    <n v="5"/>
    <n v="0"/>
    <n v="0"/>
  </r>
  <r>
    <s v="USR_00539"/>
    <s v="A"/>
    <x v="0"/>
    <x v="3"/>
    <x v="1"/>
    <x v="1"/>
    <n v="11"/>
    <n v="0"/>
    <n v="0"/>
  </r>
  <r>
    <s v="USR_00540"/>
    <s v="A"/>
    <x v="0"/>
    <x v="1"/>
    <x v="0"/>
    <x v="0"/>
    <n v="6"/>
    <n v="1"/>
    <n v="2726.93"/>
  </r>
  <r>
    <s v="USR_00541"/>
    <s v="control"/>
    <x v="0"/>
    <x v="3"/>
    <x v="0"/>
    <x v="0"/>
    <n v="7"/>
    <n v="0"/>
    <n v="0"/>
  </r>
  <r>
    <s v="USR_00542"/>
    <s v="B"/>
    <x v="1"/>
    <x v="2"/>
    <x v="1"/>
    <x v="1"/>
    <n v="4"/>
    <n v="0"/>
    <n v="0"/>
  </r>
  <r>
    <s v="USR_00543"/>
    <s v="A"/>
    <x v="0"/>
    <x v="3"/>
    <x v="0"/>
    <x v="0"/>
    <n v="6"/>
    <n v="0"/>
    <n v="0"/>
  </r>
  <r>
    <s v="USR_00544"/>
    <s v="B"/>
    <x v="1"/>
    <x v="3"/>
    <x v="0"/>
    <x v="0"/>
    <n v="8"/>
    <n v="0"/>
    <n v="0"/>
  </r>
  <r>
    <s v="USR_00545"/>
    <s v="B"/>
    <x v="1"/>
    <x v="1"/>
    <x v="1"/>
    <x v="1"/>
    <n v="2"/>
    <n v="0"/>
    <n v="0"/>
  </r>
  <r>
    <s v="USR_00546"/>
    <s v="A"/>
    <x v="0"/>
    <x v="1"/>
    <x v="0"/>
    <x v="0"/>
    <n v="5"/>
    <n v="0"/>
    <n v="0"/>
  </r>
  <r>
    <s v="USR_00547"/>
    <s v="A"/>
    <x v="0"/>
    <x v="1"/>
    <x v="0"/>
    <x v="0"/>
    <n v="2"/>
    <n v="0"/>
    <n v="0"/>
  </r>
  <r>
    <s v="USR_00548"/>
    <s v="B"/>
    <x v="1"/>
    <x v="3"/>
    <x v="0"/>
    <x v="0"/>
    <n v="4"/>
    <n v="0"/>
    <n v="0"/>
  </r>
  <r>
    <s v="USR_00549"/>
    <s v="B"/>
    <x v="1"/>
    <x v="3"/>
    <x v="0"/>
    <x v="0"/>
    <n v="8"/>
    <n v="0"/>
    <n v="0"/>
  </r>
  <r>
    <s v="USR_00550"/>
    <s v="B"/>
    <x v="1"/>
    <x v="3"/>
    <x v="0"/>
    <x v="0"/>
    <n v="6"/>
    <n v="0"/>
    <n v="0"/>
  </r>
  <r>
    <s v="USR_00551"/>
    <s v="B"/>
    <x v="1"/>
    <x v="3"/>
    <x v="0"/>
    <x v="0"/>
    <n v="3"/>
    <n v="0"/>
    <n v="0"/>
  </r>
  <r>
    <s v="USR_00552"/>
    <s v="B"/>
    <x v="1"/>
    <x v="1"/>
    <x v="0"/>
    <x v="0"/>
    <n v="6"/>
    <n v="0"/>
    <n v="0"/>
  </r>
  <r>
    <s v="USR_00553"/>
    <s v="B"/>
    <x v="1"/>
    <x v="3"/>
    <x v="1"/>
    <x v="1"/>
    <n v="5"/>
    <n v="0"/>
    <n v="0"/>
  </r>
  <r>
    <s v="USR_00554"/>
    <s v="B"/>
    <x v="1"/>
    <x v="3"/>
    <x v="1"/>
    <x v="1"/>
    <n v="8"/>
    <n v="0"/>
    <n v="0"/>
  </r>
  <r>
    <s v="USR_00555"/>
    <s v="B"/>
    <x v="1"/>
    <x v="1"/>
    <x v="0"/>
    <x v="0"/>
    <n v="4"/>
    <n v="0"/>
    <n v="0"/>
  </r>
  <r>
    <s v="USR_00556"/>
    <s v="A"/>
    <x v="0"/>
    <x v="2"/>
    <x v="1"/>
    <x v="1"/>
    <n v="11"/>
    <n v="0"/>
    <n v="0"/>
  </r>
  <r>
    <s v="USR_00557"/>
    <s v="A"/>
    <x v="0"/>
    <x v="1"/>
    <x v="0"/>
    <x v="0"/>
    <n v="9"/>
    <n v="0"/>
    <n v="0"/>
  </r>
  <r>
    <s v="USR_00558"/>
    <s v="A"/>
    <x v="0"/>
    <x v="3"/>
    <x v="1"/>
    <x v="1"/>
    <n v="7"/>
    <n v="0"/>
    <n v="0"/>
  </r>
  <r>
    <s v="USR_00559"/>
    <s v="B"/>
    <x v="1"/>
    <x v="3"/>
    <x v="0"/>
    <x v="0"/>
    <n v="4"/>
    <n v="0"/>
    <n v="0"/>
  </r>
  <r>
    <s v="USR_00560"/>
    <s v="B"/>
    <x v="1"/>
    <x v="2"/>
    <x v="1"/>
    <x v="1"/>
    <n v="8"/>
    <n v="0"/>
    <n v="0"/>
  </r>
  <r>
    <s v="USR_00561"/>
    <s v="B"/>
    <x v="1"/>
    <x v="3"/>
    <x v="0"/>
    <x v="0"/>
    <n v="8"/>
    <n v="1"/>
    <n v="1507.12"/>
  </r>
  <r>
    <s v="USR_00562"/>
    <s v="A"/>
    <x v="0"/>
    <x v="3"/>
    <x v="2"/>
    <x v="2"/>
    <n v="3"/>
    <n v="0"/>
    <n v="0"/>
  </r>
  <r>
    <s v="USR_00563"/>
    <s v="A"/>
    <x v="0"/>
    <x v="1"/>
    <x v="0"/>
    <x v="0"/>
    <n v="9"/>
    <n v="0"/>
    <n v="0"/>
  </r>
  <r>
    <s v="USR_00564"/>
    <s v="A"/>
    <x v="0"/>
    <x v="1"/>
    <x v="0"/>
    <x v="0"/>
    <n v="4"/>
    <n v="0"/>
    <n v="0"/>
  </r>
  <r>
    <s v="USR_00565"/>
    <s v="A"/>
    <x v="0"/>
    <x v="1"/>
    <x v="1"/>
    <x v="1"/>
    <n v="11"/>
    <n v="0"/>
    <n v="0"/>
  </r>
  <r>
    <s v="USR_00566"/>
    <s v="B"/>
    <x v="1"/>
    <x v="3"/>
    <x v="0"/>
    <x v="0"/>
    <n v="7"/>
    <n v="0"/>
    <n v="0"/>
  </r>
  <r>
    <s v="USR_00567"/>
    <s v="A"/>
    <x v="0"/>
    <x v="3"/>
    <x v="1"/>
    <x v="1"/>
    <n v="3"/>
    <n v="0"/>
    <n v="0"/>
  </r>
  <r>
    <s v="USR_00568"/>
    <s v="A"/>
    <x v="0"/>
    <x v="2"/>
    <x v="1"/>
    <x v="1"/>
    <n v="7"/>
    <n v="0"/>
    <n v="0"/>
  </r>
  <r>
    <s v="USR_00569"/>
    <s v="B"/>
    <x v="1"/>
    <x v="3"/>
    <x v="0"/>
    <x v="0"/>
    <n v="4"/>
    <n v="0"/>
    <n v="0"/>
  </r>
  <r>
    <s v="USR_00570"/>
    <s v="A"/>
    <x v="0"/>
    <x v="1"/>
    <x v="2"/>
    <x v="2"/>
    <n v="4"/>
    <n v="0"/>
    <n v="0"/>
  </r>
  <r>
    <s v="USR_00571"/>
    <s v="B"/>
    <x v="1"/>
    <x v="1"/>
    <x v="2"/>
    <x v="2"/>
    <n v="7"/>
    <n v="1"/>
    <n v="2412.61"/>
  </r>
  <r>
    <s v="USR_00572"/>
    <s v="B"/>
    <x v="1"/>
    <x v="1"/>
    <x v="0"/>
    <x v="0"/>
    <n v="7"/>
    <n v="0"/>
    <n v="0"/>
  </r>
  <r>
    <s v="USR_00573"/>
    <s v="A"/>
    <x v="0"/>
    <x v="3"/>
    <x v="0"/>
    <x v="0"/>
    <n v="9"/>
    <n v="0"/>
    <n v="0"/>
  </r>
  <r>
    <s v="USR_00574"/>
    <s v="B"/>
    <x v="1"/>
    <x v="3"/>
    <x v="1"/>
    <x v="1"/>
    <n v="10"/>
    <n v="0"/>
    <n v="0"/>
  </r>
  <r>
    <s v="USR_00575"/>
    <s v="B"/>
    <x v="1"/>
    <x v="1"/>
    <x v="1"/>
    <x v="1"/>
    <n v="4"/>
    <n v="1"/>
    <n v="2028.09"/>
  </r>
  <r>
    <s v="USR_00576"/>
    <s v="control"/>
    <x v="0"/>
    <x v="0"/>
    <x v="0"/>
    <x v="0"/>
    <n v="8"/>
    <n v="0"/>
    <n v="0"/>
  </r>
  <r>
    <s v="USR_00577"/>
    <s v="A"/>
    <x v="0"/>
    <x v="2"/>
    <x v="1"/>
    <x v="1"/>
    <n v="4"/>
    <n v="0"/>
    <n v="0"/>
  </r>
  <r>
    <s v="USR_00578"/>
    <s v="control"/>
    <x v="0"/>
    <x v="3"/>
    <x v="2"/>
    <x v="2"/>
    <n v="7"/>
    <n v="0"/>
    <n v="0"/>
  </r>
  <r>
    <s v="USR_00579"/>
    <s v="B"/>
    <x v="1"/>
    <x v="3"/>
    <x v="1"/>
    <x v="1"/>
    <n v="10"/>
    <n v="0"/>
    <n v="0"/>
  </r>
  <r>
    <s v="USR_00580"/>
    <s v="A"/>
    <x v="0"/>
    <x v="2"/>
    <x v="0"/>
    <x v="0"/>
    <n v="12"/>
    <n v="0"/>
    <n v="0"/>
  </r>
  <r>
    <s v="USR_00581"/>
    <s v="A"/>
    <x v="0"/>
    <x v="1"/>
    <x v="0"/>
    <x v="0"/>
    <n v="7"/>
    <n v="0"/>
    <n v="0"/>
  </r>
  <r>
    <s v="USR_00582"/>
    <s v="variant_b"/>
    <x v="1"/>
    <x v="0"/>
    <x v="0"/>
    <x v="0"/>
    <n v="5"/>
    <n v="0"/>
    <n v="0"/>
  </r>
  <r>
    <s v="USR_00583"/>
    <s v="B"/>
    <x v="1"/>
    <x v="3"/>
    <x v="0"/>
    <x v="0"/>
    <n v="7"/>
    <n v="0"/>
    <n v="0"/>
  </r>
  <r>
    <s v="USR_00584"/>
    <s v="A"/>
    <x v="0"/>
    <x v="1"/>
    <x v="1"/>
    <x v="1"/>
    <n v="6"/>
    <n v="0"/>
    <n v="0"/>
  </r>
  <r>
    <s v="USR_00585"/>
    <s v="B"/>
    <x v="1"/>
    <x v="1"/>
    <x v="0"/>
    <x v="0"/>
    <n v="9"/>
    <n v="1"/>
    <n v="2332.79"/>
  </r>
  <r>
    <s v="USR_00586"/>
    <s v="A"/>
    <x v="0"/>
    <x v="1"/>
    <x v="0"/>
    <x v="0"/>
    <n v="9"/>
    <n v="0"/>
    <n v="0"/>
  </r>
  <r>
    <s v="USR_00587"/>
    <s v="A"/>
    <x v="0"/>
    <x v="3"/>
    <x v="0"/>
    <x v="0"/>
    <n v="4"/>
    <n v="1"/>
    <n v="1749.54"/>
  </r>
  <r>
    <s v="USR_00588"/>
    <s v="A"/>
    <x v="0"/>
    <x v="3"/>
    <x v="0"/>
    <x v="0"/>
    <n v="4"/>
    <n v="0"/>
    <n v="0"/>
  </r>
  <r>
    <s v="USR_00589"/>
    <s v="A"/>
    <x v="0"/>
    <x v="1"/>
    <x v="1"/>
    <x v="1"/>
    <n v="4"/>
    <n v="0"/>
    <n v="0"/>
  </r>
  <r>
    <s v="USR_00590"/>
    <s v="A"/>
    <x v="0"/>
    <x v="3"/>
    <x v="1"/>
    <x v="1"/>
    <n v="2"/>
    <n v="0"/>
    <n v="0"/>
  </r>
  <r>
    <s v="USR_00591"/>
    <s v="A"/>
    <x v="0"/>
    <x v="1"/>
    <x v="0"/>
    <x v="0"/>
    <n v="10"/>
    <n v="0"/>
    <n v="0"/>
  </r>
  <r>
    <s v="USR_00592"/>
    <s v="B"/>
    <x v="1"/>
    <x v="2"/>
    <x v="1"/>
    <x v="1"/>
    <n v="8"/>
    <n v="0"/>
    <n v="0"/>
  </r>
  <r>
    <s v="USR_00593"/>
    <s v="A"/>
    <x v="0"/>
    <x v="3"/>
    <x v="0"/>
    <x v="0"/>
    <n v="2"/>
    <n v="0"/>
    <n v="0"/>
  </r>
  <r>
    <s v="USR_00594"/>
    <s v="A"/>
    <x v="0"/>
    <x v="0"/>
    <x v="2"/>
    <x v="2"/>
    <n v="4"/>
    <n v="1"/>
    <n v="5124.28"/>
  </r>
  <r>
    <s v="USR_00595"/>
    <s v="B"/>
    <x v="1"/>
    <x v="3"/>
    <x v="0"/>
    <x v="0"/>
    <n v="14"/>
    <n v="1"/>
    <n v="928.17"/>
  </r>
  <r>
    <s v="USR_00596"/>
    <s v="B"/>
    <x v="1"/>
    <x v="1"/>
    <x v="0"/>
    <x v="0"/>
    <n v="2"/>
    <n v="1"/>
    <n v="2031.12"/>
  </r>
  <r>
    <s v="USR_00597"/>
    <s v="B"/>
    <x v="1"/>
    <x v="2"/>
    <x v="0"/>
    <x v="0"/>
    <n v="3"/>
    <n v="0"/>
    <n v="0"/>
  </r>
  <r>
    <s v="USR_00598"/>
    <s v="A"/>
    <x v="0"/>
    <x v="3"/>
    <x v="1"/>
    <x v="1"/>
    <n v="5"/>
    <n v="0"/>
    <n v="0"/>
  </r>
  <r>
    <s v="USR_00599"/>
    <s v="A"/>
    <x v="0"/>
    <x v="3"/>
    <x v="1"/>
    <x v="1"/>
    <n v="6"/>
    <n v="0"/>
    <n v="0"/>
  </r>
  <r>
    <s v="USR_00600"/>
    <s v="A"/>
    <x v="0"/>
    <x v="1"/>
    <x v="1"/>
    <x v="1"/>
    <n v="10"/>
    <n v="0"/>
    <n v="0"/>
  </r>
  <r>
    <s v="USR_00601"/>
    <s v="A"/>
    <x v="0"/>
    <x v="3"/>
    <x v="0"/>
    <x v="0"/>
    <n v="3"/>
    <n v="0"/>
    <n v="0"/>
  </r>
  <r>
    <s v="USR_00602"/>
    <s v="A"/>
    <x v="0"/>
    <x v="1"/>
    <x v="0"/>
    <x v="0"/>
    <n v="7"/>
    <n v="0"/>
    <n v="0"/>
  </r>
  <r>
    <s v="USR_00603"/>
    <s v="A"/>
    <x v="0"/>
    <x v="0"/>
    <x v="0"/>
    <x v="0"/>
    <n v="4"/>
    <n v="0"/>
    <n v="0"/>
  </r>
  <r>
    <s v="USR_00604"/>
    <s v="A"/>
    <x v="0"/>
    <x v="1"/>
    <x v="1"/>
    <x v="1"/>
    <n v="6"/>
    <n v="0"/>
    <n v="0"/>
  </r>
  <r>
    <s v="USR_00605"/>
    <s v="A"/>
    <x v="0"/>
    <x v="3"/>
    <x v="0"/>
    <x v="0"/>
    <n v="5"/>
    <n v="0"/>
    <n v="0"/>
  </r>
  <r>
    <s v="USR_00606"/>
    <s v="B"/>
    <x v="1"/>
    <x v="1"/>
    <x v="1"/>
    <x v="1"/>
    <n v="8"/>
    <n v="0"/>
    <n v="0"/>
  </r>
  <r>
    <s v="USR_00607"/>
    <s v="A"/>
    <x v="0"/>
    <x v="1"/>
    <x v="0"/>
    <x v="0"/>
    <n v="6"/>
    <n v="0"/>
    <n v="0"/>
  </r>
  <r>
    <s v="USR_00608"/>
    <s v="A"/>
    <x v="0"/>
    <x v="3"/>
    <x v="0"/>
    <x v="0"/>
    <n v="1"/>
    <n v="0"/>
    <n v="0"/>
  </r>
  <r>
    <s v="USR_00609"/>
    <s v="B"/>
    <x v="1"/>
    <x v="1"/>
    <x v="0"/>
    <x v="0"/>
    <n v="5"/>
    <n v="0"/>
    <n v="0"/>
  </r>
  <r>
    <s v="USR_00610"/>
    <s v="B"/>
    <x v="1"/>
    <x v="1"/>
    <x v="0"/>
    <x v="0"/>
    <n v="9"/>
    <n v="0"/>
    <n v="0"/>
  </r>
  <r>
    <s v="USR_00611"/>
    <s v="A"/>
    <x v="0"/>
    <x v="1"/>
    <x v="0"/>
    <x v="0"/>
    <n v="4"/>
    <n v="1"/>
    <n v="2671.14"/>
  </r>
  <r>
    <s v="USR_00612"/>
    <s v="B"/>
    <x v="1"/>
    <x v="3"/>
    <x v="1"/>
    <x v="1"/>
    <n v="1"/>
    <n v="0"/>
    <n v="0"/>
  </r>
  <r>
    <s v="USR_00613"/>
    <s v="B"/>
    <x v="1"/>
    <x v="1"/>
    <x v="0"/>
    <x v="0"/>
    <n v="4"/>
    <n v="0"/>
    <n v="0"/>
  </r>
  <r>
    <s v="USR_00614"/>
    <s v="A"/>
    <x v="0"/>
    <x v="3"/>
    <x v="0"/>
    <x v="0"/>
    <n v="8"/>
    <n v="0"/>
    <n v="0"/>
  </r>
  <r>
    <s v="USR_00615"/>
    <s v="B"/>
    <x v="1"/>
    <x v="3"/>
    <x v="0"/>
    <x v="0"/>
    <n v="6"/>
    <n v="0"/>
    <n v="0"/>
  </r>
  <r>
    <s v="USR_00616"/>
    <s v="control"/>
    <x v="0"/>
    <x v="0"/>
    <x v="0"/>
    <x v="0"/>
    <n v="6"/>
    <n v="1"/>
    <n v="6074.55"/>
  </r>
  <r>
    <s v="USR_00617"/>
    <s v="A"/>
    <x v="0"/>
    <x v="1"/>
    <x v="0"/>
    <x v="0"/>
    <n v="6"/>
    <n v="0"/>
    <n v="0"/>
  </r>
  <r>
    <s v="USR_00618"/>
    <s v="A"/>
    <x v="0"/>
    <x v="3"/>
    <x v="0"/>
    <x v="0"/>
    <n v="2"/>
    <n v="0"/>
    <n v="0"/>
  </r>
  <r>
    <s v="USR_00619"/>
    <s v="B"/>
    <x v="1"/>
    <x v="3"/>
    <x v="1"/>
    <x v="1"/>
    <n v="5"/>
    <n v="0"/>
    <n v="0"/>
  </r>
  <r>
    <s v="USR_00620"/>
    <s v="B"/>
    <x v="1"/>
    <x v="3"/>
    <x v="0"/>
    <x v="0"/>
    <n v="10"/>
    <n v="0"/>
    <n v="0"/>
  </r>
  <r>
    <s v="USR_00621"/>
    <s v="A"/>
    <x v="0"/>
    <x v="3"/>
    <x v="0"/>
    <x v="0"/>
    <n v="3"/>
    <n v="0"/>
    <n v="0"/>
  </r>
  <r>
    <s v="USR_00622"/>
    <s v="A"/>
    <x v="0"/>
    <x v="3"/>
    <x v="1"/>
    <x v="1"/>
    <n v="8"/>
    <n v="0"/>
    <n v="0"/>
  </r>
  <r>
    <s v="USR_00623"/>
    <s v="A"/>
    <x v="0"/>
    <x v="3"/>
    <x v="0"/>
    <x v="0"/>
    <n v="1"/>
    <n v="0"/>
    <n v="0"/>
  </r>
  <r>
    <s v="USR_00624"/>
    <s v="B"/>
    <x v="1"/>
    <x v="1"/>
    <x v="1"/>
    <x v="1"/>
    <n v="9"/>
    <n v="0"/>
    <n v="0"/>
  </r>
  <r>
    <s v="USR_00625"/>
    <s v="B"/>
    <x v="1"/>
    <x v="1"/>
    <x v="0"/>
    <x v="0"/>
    <n v="10"/>
    <n v="1"/>
    <n v="2265.6"/>
  </r>
  <r>
    <s v="USR_00626"/>
    <s v="A"/>
    <x v="0"/>
    <x v="1"/>
    <x v="0"/>
    <x v="0"/>
    <n v="5"/>
    <n v="0"/>
    <n v="0"/>
  </r>
  <r>
    <s v="USR_00627"/>
    <s v="B"/>
    <x v="1"/>
    <x v="1"/>
    <x v="0"/>
    <x v="0"/>
    <n v="12"/>
    <n v="0"/>
    <n v="0"/>
  </r>
  <r>
    <s v="USR_00628"/>
    <s v="B"/>
    <x v="1"/>
    <x v="3"/>
    <x v="0"/>
    <x v="0"/>
    <n v="2"/>
    <n v="0"/>
    <n v="0"/>
  </r>
  <r>
    <s v="USR_00629"/>
    <s v="A"/>
    <x v="0"/>
    <x v="2"/>
    <x v="1"/>
    <x v="1"/>
    <n v="5"/>
    <n v="0"/>
    <n v="0"/>
  </r>
  <r>
    <s v="USR_00630"/>
    <s v="A"/>
    <x v="0"/>
    <x v="0"/>
    <x v="0"/>
    <x v="0"/>
    <n v="3"/>
    <n v="0"/>
    <n v="0"/>
  </r>
  <r>
    <s v="USR_00631"/>
    <s v="B"/>
    <x v="1"/>
    <x v="0"/>
    <x v="1"/>
    <x v="1"/>
    <n v="5"/>
    <n v="0"/>
    <n v="0"/>
  </r>
  <r>
    <s v="USR_00632"/>
    <s v="B"/>
    <x v="1"/>
    <x v="0"/>
    <x v="1"/>
    <x v="1"/>
    <n v="8"/>
    <n v="0"/>
    <n v="0"/>
  </r>
  <r>
    <s v="USR_00633"/>
    <s v="B"/>
    <x v="1"/>
    <x v="2"/>
    <x v="0"/>
    <x v="0"/>
    <n v="3"/>
    <n v="1"/>
    <n v="1464.91"/>
  </r>
  <r>
    <s v="USR_00634"/>
    <s v="B"/>
    <x v="1"/>
    <x v="1"/>
    <x v="0"/>
    <x v="0"/>
    <n v="11"/>
    <n v="0"/>
    <n v="0"/>
  </r>
  <r>
    <s v="USR_00635"/>
    <s v="A"/>
    <x v="0"/>
    <x v="3"/>
    <x v="0"/>
    <x v="0"/>
    <n v="2"/>
    <n v="1"/>
    <n v="1672.63"/>
  </r>
  <r>
    <s v="USR_00636"/>
    <s v="A"/>
    <x v="0"/>
    <x v="1"/>
    <x v="0"/>
    <x v="0"/>
    <n v="5"/>
    <n v="0"/>
    <n v="0"/>
  </r>
  <r>
    <s v="USR_00637"/>
    <s v="B"/>
    <x v="1"/>
    <x v="1"/>
    <x v="1"/>
    <x v="1"/>
    <n v="4"/>
    <n v="0"/>
    <n v="0"/>
  </r>
  <r>
    <s v="USR_00638"/>
    <s v="A"/>
    <x v="0"/>
    <x v="1"/>
    <x v="0"/>
    <x v="0"/>
    <n v="3"/>
    <n v="1"/>
    <n v="2257.5500000000002"/>
  </r>
  <r>
    <s v="USR_00639"/>
    <s v="A"/>
    <x v="0"/>
    <x v="1"/>
    <x v="0"/>
    <x v="0"/>
    <n v="9"/>
    <n v="0"/>
    <n v="0"/>
  </r>
  <r>
    <s v="USR_00640"/>
    <s v="A"/>
    <x v="0"/>
    <x v="3"/>
    <x v="0"/>
    <x v="0"/>
    <n v="12"/>
    <n v="0"/>
    <n v="0"/>
  </r>
  <r>
    <s v="USR_00641"/>
    <s v="A"/>
    <x v="0"/>
    <x v="3"/>
    <x v="1"/>
    <x v="1"/>
    <n v="4"/>
    <n v="0"/>
    <n v="0"/>
  </r>
  <r>
    <s v="USR_00642"/>
    <s v="A"/>
    <x v="0"/>
    <x v="2"/>
    <x v="1"/>
    <x v="1"/>
    <n v="7"/>
    <n v="0"/>
    <n v="0"/>
  </r>
  <r>
    <s v="USR_00643"/>
    <s v="A"/>
    <x v="0"/>
    <x v="1"/>
    <x v="0"/>
    <x v="0"/>
    <n v="2"/>
    <n v="0"/>
    <n v="0"/>
  </r>
  <r>
    <s v="USR_00644"/>
    <s v="A"/>
    <x v="0"/>
    <x v="1"/>
    <x v="0"/>
    <x v="0"/>
    <n v="5"/>
    <n v="1"/>
    <n v="2305.92"/>
  </r>
  <r>
    <s v="USR_00645"/>
    <s v="A"/>
    <x v="0"/>
    <x v="3"/>
    <x v="1"/>
    <x v="1"/>
    <n v="5"/>
    <n v="0"/>
    <n v="0"/>
  </r>
  <r>
    <s v="USR_00646"/>
    <s v="B"/>
    <x v="1"/>
    <x v="3"/>
    <x v="0"/>
    <x v="0"/>
    <n v="3"/>
    <n v="0"/>
    <n v="0"/>
  </r>
  <r>
    <s v="USR_00647"/>
    <s v="B"/>
    <x v="1"/>
    <x v="0"/>
    <x v="0"/>
    <x v="0"/>
    <n v="6"/>
    <n v="0"/>
    <n v="0"/>
  </r>
  <r>
    <s v="USR_00648"/>
    <s v="B"/>
    <x v="1"/>
    <x v="1"/>
    <x v="1"/>
    <x v="1"/>
    <n v="11"/>
    <n v="0"/>
    <n v="0"/>
  </r>
  <r>
    <s v="USR_00649"/>
    <s v="B"/>
    <x v="1"/>
    <x v="0"/>
    <x v="1"/>
    <x v="1"/>
    <n v="4"/>
    <n v="1"/>
    <n v="3725.76"/>
  </r>
  <r>
    <s v="USR_00650"/>
    <s v="B"/>
    <x v="1"/>
    <x v="1"/>
    <x v="1"/>
    <x v="1"/>
    <n v="7"/>
    <n v="0"/>
    <n v="0"/>
  </r>
  <r>
    <s v="USR_00651"/>
    <s v="A"/>
    <x v="0"/>
    <x v="1"/>
    <x v="1"/>
    <x v="1"/>
    <n v="9"/>
    <n v="0"/>
    <n v="0"/>
  </r>
  <r>
    <s v="USR_00652"/>
    <s v="B"/>
    <x v="1"/>
    <x v="3"/>
    <x v="1"/>
    <x v="1"/>
    <n v="6"/>
    <n v="0"/>
    <n v="0"/>
  </r>
  <r>
    <s v="USR_00653"/>
    <s v="B"/>
    <x v="1"/>
    <x v="1"/>
    <x v="0"/>
    <x v="0"/>
    <n v="8"/>
    <n v="0"/>
    <n v="0"/>
  </r>
  <r>
    <s v="USR_00654"/>
    <s v="B"/>
    <x v="1"/>
    <x v="1"/>
    <x v="0"/>
    <x v="0"/>
    <n v="10"/>
    <n v="0"/>
    <n v="0"/>
  </r>
  <r>
    <s v="USR_00655"/>
    <s v="A"/>
    <x v="0"/>
    <x v="1"/>
    <x v="0"/>
    <x v="0"/>
    <n v="9"/>
    <n v="1"/>
    <n v="2348.02"/>
  </r>
  <r>
    <s v="USR_00656"/>
    <s v="A"/>
    <x v="0"/>
    <x v="1"/>
    <x v="0"/>
    <x v="0"/>
    <n v="5"/>
    <n v="0"/>
    <n v="0"/>
  </r>
  <r>
    <s v="USR_00657"/>
    <s v="A"/>
    <x v="0"/>
    <x v="2"/>
    <x v="1"/>
    <x v="1"/>
    <n v="4"/>
    <n v="0"/>
    <n v="0"/>
  </r>
  <r>
    <s v="USR_00658"/>
    <s v="A"/>
    <x v="0"/>
    <x v="3"/>
    <x v="0"/>
    <x v="0"/>
    <n v="6"/>
    <n v="0"/>
    <n v="0"/>
  </r>
  <r>
    <s v="USR_00659"/>
    <s v="B"/>
    <x v="1"/>
    <x v="0"/>
    <x v="1"/>
    <x v="1"/>
    <n v="6"/>
    <n v="1"/>
    <n v="6672.12"/>
  </r>
  <r>
    <s v="USR_00660"/>
    <s v="B"/>
    <x v="1"/>
    <x v="3"/>
    <x v="1"/>
    <x v="1"/>
    <n v="8"/>
    <n v="0"/>
    <n v="0"/>
  </r>
  <r>
    <s v="USR_00661"/>
    <s v="A"/>
    <x v="0"/>
    <x v="1"/>
    <x v="0"/>
    <x v="0"/>
    <n v="9"/>
    <n v="0"/>
    <n v="0"/>
  </r>
  <r>
    <s v="USR_00662"/>
    <s v="variant_b"/>
    <x v="1"/>
    <x v="3"/>
    <x v="0"/>
    <x v="0"/>
    <n v="10"/>
    <n v="0"/>
    <n v="0"/>
  </r>
  <r>
    <s v="USR_00663"/>
    <s v="B"/>
    <x v="1"/>
    <x v="3"/>
    <x v="1"/>
    <x v="1"/>
    <n v="3"/>
    <n v="0"/>
    <n v="0"/>
  </r>
  <r>
    <s v="USR_00664"/>
    <s v="A"/>
    <x v="0"/>
    <x v="1"/>
    <x v="1"/>
    <x v="1"/>
    <n v="8"/>
    <n v="0"/>
    <n v="0"/>
  </r>
  <r>
    <s v="USR_00665"/>
    <s v="A"/>
    <x v="0"/>
    <x v="3"/>
    <x v="1"/>
    <x v="1"/>
    <n v="2"/>
    <n v="0"/>
    <n v="0"/>
  </r>
  <r>
    <s v="USR_00666"/>
    <s v="A"/>
    <x v="0"/>
    <x v="1"/>
    <x v="1"/>
    <x v="1"/>
    <n v="4"/>
    <n v="0"/>
    <n v="0"/>
  </r>
  <r>
    <s v="USR_00667"/>
    <s v="A"/>
    <x v="0"/>
    <x v="2"/>
    <x v="1"/>
    <x v="1"/>
    <n v="3"/>
    <n v="0"/>
    <n v="0"/>
  </r>
  <r>
    <s v="USR_00668"/>
    <s v="A"/>
    <x v="0"/>
    <x v="3"/>
    <x v="0"/>
    <x v="0"/>
    <n v="3"/>
    <n v="0"/>
    <n v="0"/>
  </r>
  <r>
    <s v="USR_00669"/>
    <s v="A"/>
    <x v="0"/>
    <x v="1"/>
    <x v="0"/>
    <x v="0"/>
    <n v="8"/>
    <n v="0"/>
    <n v="0"/>
  </r>
  <r>
    <s v="USR_00670"/>
    <s v="A"/>
    <x v="0"/>
    <x v="3"/>
    <x v="1"/>
    <x v="1"/>
    <n v="6"/>
    <n v="0"/>
    <n v="0"/>
  </r>
  <r>
    <s v="USR_00671"/>
    <s v="A"/>
    <x v="0"/>
    <x v="1"/>
    <x v="0"/>
    <x v="0"/>
    <n v="6"/>
    <n v="0"/>
    <n v="0"/>
  </r>
  <r>
    <s v="USR_00672"/>
    <s v="B"/>
    <x v="1"/>
    <x v="3"/>
    <x v="0"/>
    <x v="0"/>
    <n v="7"/>
    <n v="0"/>
    <n v="0"/>
  </r>
  <r>
    <s v="USR_00673"/>
    <s v="A"/>
    <x v="0"/>
    <x v="3"/>
    <x v="1"/>
    <x v="1"/>
    <n v="7"/>
    <n v="0"/>
    <n v="0"/>
  </r>
  <r>
    <s v="USR_00674"/>
    <s v="B"/>
    <x v="1"/>
    <x v="3"/>
    <x v="0"/>
    <x v="0"/>
    <n v="4"/>
    <n v="1"/>
    <n v="1312.68"/>
  </r>
  <r>
    <s v="USR_00675"/>
    <s v="A"/>
    <x v="0"/>
    <x v="3"/>
    <x v="1"/>
    <x v="1"/>
    <n v="3"/>
    <n v="0"/>
    <n v="0"/>
  </r>
  <r>
    <s v="USR_00676"/>
    <s v="variant_b"/>
    <x v="1"/>
    <x v="3"/>
    <x v="0"/>
    <x v="0"/>
    <n v="9"/>
    <n v="0"/>
    <n v="0"/>
  </r>
  <r>
    <s v="USR_00677"/>
    <s v="A"/>
    <x v="0"/>
    <x v="1"/>
    <x v="1"/>
    <x v="1"/>
    <n v="2"/>
    <n v="0"/>
    <n v="0"/>
  </r>
  <r>
    <s v="USR_00678"/>
    <s v="A"/>
    <x v="0"/>
    <x v="0"/>
    <x v="0"/>
    <x v="0"/>
    <n v="5"/>
    <n v="1"/>
    <n v="6338.29"/>
  </r>
  <r>
    <s v="USR_00679"/>
    <s v="variant_b"/>
    <x v="1"/>
    <x v="0"/>
    <x v="1"/>
    <x v="1"/>
    <n v="5"/>
    <n v="0"/>
    <n v="0"/>
  </r>
  <r>
    <s v="USR_00680"/>
    <s v="B"/>
    <x v="1"/>
    <x v="1"/>
    <x v="0"/>
    <x v="0"/>
    <n v="7"/>
    <n v="0"/>
    <n v="0"/>
  </r>
  <r>
    <s v="USR_00681"/>
    <s v="B"/>
    <x v="1"/>
    <x v="3"/>
    <x v="0"/>
    <x v="0"/>
    <n v="4"/>
    <n v="0"/>
    <n v="0"/>
  </r>
  <r>
    <s v="USR_00682"/>
    <s v="A"/>
    <x v="0"/>
    <x v="3"/>
    <x v="0"/>
    <x v="0"/>
    <n v="8"/>
    <n v="1"/>
    <n v="1303.6500000000001"/>
  </r>
  <r>
    <s v="USR_00683"/>
    <s v="A"/>
    <x v="0"/>
    <x v="3"/>
    <x v="1"/>
    <x v="1"/>
    <n v="7"/>
    <n v="0"/>
    <n v="0"/>
  </r>
  <r>
    <s v="USR_00684"/>
    <s v="B"/>
    <x v="1"/>
    <x v="3"/>
    <x v="0"/>
    <x v="0"/>
    <n v="5"/>
    <n v="1"/>
    <n v="1590.11"/>
  </r>
  <r>
    <s v="USR_00685"/>
    <s v="control"/>
    <x v="0"/>
    <x v="1"/>
    <x v="0"/>
    <x v="0"/>
    <n v="8"/>
    <n v="0"/>
    <n v="0"/>
  </r>
  <r>
    <s v="USR_00686"/>
    <s v="B"/>
    <x v="1"/>
    <x v="1"/>
    <x v="1"/>
    <x v="1"/>
    <n v="8"/>
    <n v="0"/>
    <n v="0"/>
  </r>
  <r>
    <s v="USR_00687"/>
    <s v="B"/>
    <x v="1"/>
    <x v="3"/>
    <x v="0"/>
    <x v="0"/>
    <n v="1"/>
    <n v="0"/>
    <n v="0"/>
  </r>
  <r>
    <s v="USR_00688"/>
    <s v="A"/>
    <x v="0"/>
    <x v="3"/>
    <x v="1"/>
    <x v="1"/>
    <n v="8"/>
    <n v="1"/>
    <n v="1583.94"/>
  </r>
  <r>
    <s v="USR_00689"/>
    <s v="B"/>
    <x v="1"/>
    <x v="0"/>
    <x v="0"/>
    <x v="0"/>
    <n v="9"/>
    <n v="1"/>
    <n v="4435.6000000000004"/>
  </r>
  <r>
    <s v="USR_00690"/>
    <s v="A"/>
    <x v="0"/>
    <x v="0"/>
    <x v="1"/>
    <x v="1"/>
    <n v="7"/>
    <n v="0"/>
    <n v="0"/>
  </r>
  <r>
    <s v="USR_00691"/>
    <s v="A"/>
    <x v="0"/>
    <x v="3"/>
    <x v="0"/>
    <x v="0"/>
    <n v="1"/>
    <n v="1"/>
    <n v="1708.98"/>
  </r>
  <r>
    <s v="USR_00692"/>
    <s v="A"/>
    <x v="0"/>
    <x v="0"/>
    <x v="0"/>
    <x v="0"/>
    <n v="8"/>
    <n v="0"/>
    <n v="0"/>
  </r>
  <r>
    <s v="USR_00693"/>
    <s v="B"/>
    <x v="1"/>
    <x v="2"/>
    <x v="1"/>
    <x v="1"/>
    <n v="8"/>
    <n v="0"/>
    <n v="0"/>
  </r>
  <r>
    <s v="USR_00694"/>
    <s v="A"/>
    <x v="0"/>
    <x v="3"/>
    <x v="1"/>
    <x v="1"/>
    <n v="7"/>
    <n v="0"/>
    <n v="0"/>
  </r>
  <r>
    <s v="USR_00695"/>
    <s v="A"/>
    <x v="0"/>
    <x v="3"/>
    <x v="1"/>
    <x v="1"/>
    <n v="4"/>
    <n v="0"/>
    <n v="0"/>
  </r>
  <r>
    <s v="USR_00696"/>
    <s v="B"/>
    <x v="1"/>
    <x v="1"/>
    <x v="0"/>
    <x v="0"/>
    <n v="8"/>
    <n v="1"/>
    <n v="2286.92"/>
  </r>
  <r>
    <s v="USR_00697"/>
    <s v="A"/>
    <x v="0"/>
    <x v="2"/>
    <x v="0"/>
    <x v="0"/>
    <n v="5"/>
    <n v="1"/>
    <n v="1188.3699999999999"/>
  </r>
  <r>
    <s v="USR_00698"/>
    <s v="B"/>
    <x v="1"/>
    <x v="0"/>
    <x v="0"/>
    <x v="0"/>
    <n v="5"/>
    <n v="0"/>
    <n v="0"/>
  </r>
  <r>
    <s v="USR_00699"/>
    <s v="A"/>
    <x v="0"/>
    <x v="3"/>
    <x v="2"/>
    <x v="2"/>
    <n v="5"/>
    <n v="0"/>
    <n v="0"/>
  </r>
  <r>
    <s v="USR_00700"/>
    <s v="B"/>
    <x v="1"/>
    <x v="3"/>
    <x v="0"/>
    <x v="0"/>
    <n v="8"/>
    <n v="0"/>
    <n v="0"/>
  </r>
  <r>
    <s v="USR_00701"/>
    <s v="B"/>
    <x v="1"/>
    <x v="1"/>
    <x v="0"/>
    <x v="0"/>
    <n v="11"/>
    <n v="0"/>
    <n v="0"/>
  </r>
  <r>
    <s v="USR_00702"/>
    <s v="A"/>
    <x v="0"/>
    <x v="1"/>
    <x v="0"/>
    <x v="0"/>
    <n v="7"/>
    <n v="0"/>
    <n v="0"/>
  </r>
  <r>
    <s v="USR_00703"/>
    <s v="A"/>
    <x v="0"/>
    <x v="3"/>
    <x v="1"/>
    <x v="1"/>
    <n v="6"/>
    <n v="0"/>
    <n v="0"/>
  </r>
  <r>
    <s v="USR_00704"/>
    <s v="A"/>
    <x v="0"/>
    <x v="0"/>
    <x v="0"/>
    <x v="0"/>
    <n v="3"/>
    <n v="0"/>
    <n v="0"/>
  </r>
  <r>
    <s v="USR_00705"/>
    <s v="A"/>
    <x v="0"/>
    <x v="1"/>
    <x v="1"/>
    <x v="1"/>
    <n v="9"/>
    <n v="0"/>
    <n v="0"/>
  </r>
  <r>
    <s v="USR_00706"/>
    <s v="variant_b"/>
    <x v="1"/>
    <x v="0"/>
    <x v="0"/>
    <x v="0"/>
    <n v="6"/>
    <n v="1"/>
    <n v="6225.32"/>
  </r>
  <r>
    <s v="USR_00707"/>
    <s v="A"/>
    <x v="0"/>
    <x v="0"/>
    <x v="0"/>
    <x v="0"/>
    <n v="5"/>
    <n v="0"/>
    <n v="0"/>
  </r>
  <r>
    <s v="USR_00708"/>
    <s v="B"/>
    <x v="1"/>
    <x v="1"/>
    <x v="0"/>
    <x v="0"/>
    <n v="5"/>
    <n v="0"/>
    <n v="0"/>
  </r>
  <r>
    <s v="USR_00709"/>
    <s v="A"/>
    <x v="0"/>
    <x v="1"/>
    <x v="1"/>
    <x v="1"/>
    <n v="6"/>
    <n v="0"/>
    <n v="0"/>
  </r>
  <r>
    <s v="USR_00710"/>
    <s v="B"/>
    <x v="1"/>
    <x v="1"/>
    <x v="1"/>
    <x v="1"/>
    <n v="5"/>
    <n v="0"/>
    <n v="0"/>
  </r>
  <r>
    <s v="USR_00711"/>
    <s v="B"/>
    <x v="1"/>
    <x v="3"/>
    <x v="0"/>
    <x v="0"/>
    <n v="6"/>
    <n v="0"/>
    <n v="0"/>
  </r>
  <r>
    <s v="USR_00712"/>
    <s v="B"/>
    <x v="1"/>
    <x v="1"/>
    <x v="1"/>
    <x v="1"/>
    <n v="6"/>
    <n v="1"/>
    <n v="2262.1"/>
  </r>
  <r>
    <s v="USR_00713"/>
    <s v="B"/>
    <x v="1"/>
    <x v="3"/>
    <x v="0"/>
    <x v="0"/>
    <n v="5"/>
    <n v="0"/>
    <n v="0"/>
  </r>
  <r>
    <s v="USR_00714"/>
    <s v="A"/>
    <x v="0"/>
    <x v="1"/>
    <x v="1"/>
    <x v="1"/>
    <n v="4"/>
    <n v="0"/>
    <n v="0"/>
  </r>
  <r>
    <s v="USR_00715"/>
    <s v="A"/>
    <x v="0"/>
    <x v="3"/>
    <x v="1"/>
    <x v="1"/>
    <n v="4"/>
    <n v="0"/>
    <n v="0"/>
  </r>
  <r>
    <s v="USR_00716"/>
    <s v="control"/>
    <x v="0"/>
    <x v="3"/>
    <x v="0"/>
    <x v="0"/>
    <n v="5"/>
    <n v="0"/>
    <n v="0"/>
  </r>
  <r>
    <s v="USR_00717"/>
    <s v="B"/>
    <x v="1"/>
    <x v="3"/>
    <x v="0"/>
    <x v="0"/>
    <n v="7"/>
    <n v="0"/>
    <n v="0"/>
  </r>
  <r>
    <s v="USR_00718"/>
    <s v="variant_b"/>
    <x v="1"/>
    <x v="3"/>
    <x v="0"/>
    <x v="0"/>
    <n v="9"/>
    <n v="0"/>
    <n v="0"/>
  </r>
  <r>
    <s v="USR_00719"/>
    <s v="A"/>
    <x v="0"/>
    <x v="1"/>
    <x v="0"/>
    <x v="0"/>
    <n v="7"/>
    <n v="0"/>
    <n v="0"/>
  </r>
  <r>
    <s v="USR_00720"/>
    <s v="B"/>
    <x v="1"/>
    <x v="1"/>
    <x v="0"/>
    <x v="0"/>
    <n v="4"/>
    <n v="0"/>
    <n v="0"/>
  </r>
  <r>
    <s v="USR_00721"/>
    <s v="control"/>
    <x v="0"/>
    <x v="1"/>
    <x v="0"/>
    <x v="0"/>
    <n v="1"/>
    <n v="0"/>
    <n v="0"/>
  </r>
  <r>
    <s v="USR_00722"/>
    <s v="A"/>
    <x v="0"/>
    <x v="3"/>
    <x v="0"/>
    <x v="0"/>
    <n v="4"/>
    <n v="0"/>
    <n v="0"/>
  </r>
  <r>
    <s v="USR_00723"/>
    <s v="A"/>
    <x v="0"/>
    <x v="3"/>
    <x v="1"/>
    <x v="1"/>
    <n v="6"/>
    <n v="0"/>
    <n v="0"/>
  </r>
  <r>
    <s v="USR_00724"/>
    <s v="B"/>
    <x v="1"/>
    <x v="3"/>
    <x v="0"/>
    <x v="0"/>
    <n v="4"/>
    <n v="1"/>
    <n v="1682.91"/>
  </r>
  <r>
    <s v="USR_00725"/>
    <s v="B"/>
    <x v="1"/>
    <x v="3"/>
    <x v="0"/>
    <x v="0"/>
    <n v="6"/>
    <n v="0"/>
    <n v="0"/>
  </r>
  <r>
    <s v="USR_00726"/>
    <s v="B"/>
    <x v="1"/>
    <x v="0"/>
    <x v="1"/>
    <x v="1"/>
    <n v="10"/>
    <n v="0"/>
    <n v="0"/>
  </r>
  <r>
    <s v="USR_00727"/>
    <s v="A"/>
    <x v="0"/>
    <x v="3"/>
    <x v="0"/>
    <x v="0"/>
    <n v="6"/>
    <n v="0"/>
    <n v="0"/>
  </r>
  <r>
    <s v="USR_00728"/>
    <s v="B"/>
    <x v="1"/>
    <x v="3"/>
    <x v="0"/>
    <x v="0"/>
    <n v="5"/>
    <n v="0"/>
    <n v="0"/>
  </r>
  <r>
    <s v="USR_00729"/>
    <s v="A"/>
    <x v="0"/>
    <x v="3"/>
    <x v="0"/>
    <x v="0"/>
    <n v="3"/>
    <n v="0"/>
    <n v="0"/>
  </r>
  <r>
    <s v="USR_00730"/>
    <s v="A"/>
    <x v="0"/>
    <x v="3"/>
    <x v="1"/>
    <x v="1"/>
    <n v="11"/>
    <n v="0"/>
    <n v="0"/>
  </r>
  <r>
    <s v="USR_00731"/>
    <s v="A"/>
    <x v="0"/>
    <x v="1"/>
    <x v="0"/>
    <x v="0"/>
    <n v="3"/>
    <n v="0"/>
    <n v="0"/>
  </r>
  <r>
    <s v="USR_00732"/>
    <s v="B"/>
    <x v="1"/>
    <x v="1"/>
    <x v="0"/>
    <x v="0"/>
    <n v="7"/>
    <n v="0"/>
    <n v="0"/>
  </r>
  <r>
    <s v="USR_00733"/>
    <s v="B"/>
    <x v="1"/>
    <x v="3"/>
    <x v="1"/>
    <x v="1"/>
    <n v="7"/>
    <n v="0"/>
    <n v="0"/>
  </r>
  <r>
    <s v="USR_00734"/>
    <s v="B"/>
    <x v="1"/>
    <x v="3"/>
    <x v="1"/>
    <x v="1"/>
    <n v="5"/>
    <n v="0"/>
    <n v="0"/>
  </r>
  <r>
    <s v="USR_00735"/>
    <s v="A"/>
    <x v="0"/>
    <x v="3"/>
    <x v="1"/>
    <x v="1"/>
    <n v="7"/>
    <n v="0"/>
    <n v="0"/>
  </r>
  <r>
    <s v="USR_00736"/>
    <s v="B"/>
    <x v="1"/>
    <x v="3"/>
    <x v="1"/>
    <x v="1"/>
    <n v="5"/>
    <n v="0"/>
    <n v="0"/>
  </r>
  <r>
    <s v="USR_00737"/>
    <s v="A"/>
    <x v="0"/>
    <x v="3"/>
    <x v="1"/>
    <x v="1"/>
    <n v="6"/>
    <n v="0"/>
    <n v="0"/>
  </r>
  <r>
    <s v="USR_00738"/>
    <s v="B"/>
    <x v="1"/>
    <x v="2"/>
    <x v="0"/>
    <x v="0"/>
    <n v="8"/>
    <n v="0"/>
    <n v="0"/>
  </r>
  <r>
    <s v="USR_00739"/>
    <s v="A"/>
    <x v="0"/>
    <x v="1"/>
    <x v="0"/>
    <x v="0"/>
    <n v="6"/>
    <n v="0"/>
    <n v="0"/>
  </r>
  <r>
    <s v="USR_00740"/>
    <s v="A"/>
    <x v="0"/>
    <x v="1"/>
    <x v="0"/>
    <x v="0"/>
    <n v="2"/>
    <n v="0"/>
    <n v="0"/>
  </r>
  <r>
    <s v="USR_00741"/>
    <s v="B"/>
    <x v="1"/>
    <x v="3"/>
    <x v="0"/>
    <x v="0"/>
    <n v="10"/>
    <n v="0"/>
    <n v="0"/>
  </r>
  <r>
    <s v="USR_00742"/>
    <s v="A"/>
    <x v="0"/>
    <x v="1"/>
    <x v="1"/>
    <x v="1"/>
    <n v="2"/>
    <n v="0"/>
    <n v="0"/>
  </r>
  <r>
    <s v="USR_00743"/>
    <s v="B"/>
    <x v="1"/>
    <x v="1"/>
    <x v="0"/>
    <x v="0"/>
    <n v="4"/>
    <n v="0"/>
    <n v="0"/>
  </r>
  <r>
    <s v="USR_00744"/>
    <s v="B"/>
    <x v="1"/>
    <x v="1"/>
    <x v="2"/>
    <x v="2"/>
    <n v="9"/>
    <n v="0"/>
    <n v="0"/>
  </r>
  <r>
    <s v="USR_00745"/>
    <s v="A"/>
    <x v="0"/>
    <x v="1"/>
    <x v="0"/>
    <x v="0"/>
    <n v="9"/>
    <n v="0"/>
    <n v="0"/>
  </r>
  <r>
    <s v="USR_00746"/>
    <s v="B"/>
    <x v="1"/>
    <x v="3"/>
    <x v="1"/>
    <x v="1"/>
    <n v="7"/>
    <n v="0"/>
    <n v="0"/>
  </r>
  <r>
    <s v="USR_00747"/>
    <s v="A"/>
    <x v="0"/>
    <x v="1"/>
    <x v="1"/>
    <x v="1"/>
    <n v="6"/>
    <n v="0"/>
    <n v="0"/>
  </r>
  <r>
    <s v="USR_00748"/>
    <s v="B"/>
    <x v="1"/>
    <x v="3"/>
    <x v="2"/>
    <x v="2"/>
    <n v="4"/>
    <n v="0"/>
    <n v="0"/>
  </r>
  <r>
    <s v="USR_00749"/>
    <s v="B"/>
    <x v="1"/>
    <x v="0"/>
    <x v="2"/>
    <x v="2"/>
    <n v="4"/>
    <n v="0"/>
    <n v="0"/>
  </r>
  <r>
    <s v="USR_00750"/>
    <s v="B"/>
    <x v="1"/>
    <x v="1"/>
    <x v="1"/>
    <x v="1"/>
    <n v="11"/>
    <n v="0"/>
    <n v="0"/>
  </r>
  <r>
    <s v="USR_00751"/>
    <s v="A"/>
    <x v="0"/>
    <x v="1"/>
    <x v="0"/>
    <x v="0"/>
    <n v="8"/>
    <n v="1"/>
    <n v="2526.48"/>
  </r>
  <r>
    <s v="USR_00752"/>
    <s v="control"/>
    <x v="0"/>
    <x v="3"/>
    <x v="1"/>
    <x v="1"/>
    <n v="5"/>
    <n v="0"/>
    <n v="0"/>
  </r>
  <r>
    <s v="USR_00753"/>
    <s v="B"/>
    <x v="1"/>
    <x v="1"/>
    <x v="0"/>
    <x v="0"/>
    <n v="2"/>
    <n v="0"/>
    <n v="0"/>
  </r>
  <r>
    <s v="USR_00754"/>
    <s v="A"/>
    <x v="0"/>
    <x v="3"/>
    <x v="1"/>
    <x v="1"/>
    <n v="4"/>
    <n v="0"/>
    <n v="0"/>
  </r>
  <r>
    <s v="USR_00755"/>
    <s v="A"/>
    <x v="0"/>
    <x v="3"/>
    <x v="1"/>
    <x v="1"/>
    <n v="5"/>
    <n v="0"/>
    <n v="0"/>
  </r>
  <r>
    <s v="USR_00756"/>
    <s v="B"/>
    <x v="1"/>
    <x v="3"/>
    <x v="0"/>
    <x v="0"/>
    <n v="9"/>
    <n v="1"/>
    <n v="1505.83"/>
  </r>
  <r>
    <s v="USR_00757"/>
    <s v="B"/>
    <x v="1"/>
    <x v="1"/>
    <x v="1"/>
    <x v="1"/>
    <n v="9"/>
    <n v="1"/>
    <n v="2593.09"/>
  </r>
  <r>
    <s v="USR_00758"/>
    <s v="B"/>
    <x v="1"/>
    <x v="3"/>
    <x v="0"/>
    <x v="0"/>
    <n v="5"/>
    <n v="0"/>
    <n v="0"/>
  </r>
  <r>
    <s v="USR_00759"/>
    <s v="B"/>
    <x v="1"/>
    <x v="3"/>
    <x v="0"/>
    <x v="0"/>
    <n v="8"/>
    <n v="0"/>
    <n v="0"/>
  </r>
  <r>
    <s v="USR_00760"/>
    <s v="B"/>
    <x v="1"/>
    <x v="0"/>
    <x v="0"/>
    <x v="0"/>
    <n v="5"/>
    <n v="1"/>
    <n v="5402.41"/>
  </r>
  <r>
    <s v="USR_00761"/>
    <s v="A"/>
    <x v="0"/>
    <x v="3"/>
    <x v="1"/>
    <x v="1"/>
    <n v="8"/>
    <n v="0"/>
    <n v="0"/>
  </r>
  <r>
    <s v="USR_00762"/>
    <s v="A"/>
    <x v="0"/>
    <x v="1"/>
    <x v="1"/>
    <x v="1"/>
    <n v="1"/>
    <n v="0"/>
    <n v="0"/>
  </r>
  <r>
    <s v="USR_00763"/>
    <s v="A"/>
    <x v="0"/>
    <x v="3"/>
    <x v="1"/>
    <x v="1"/>
    <n v="5"/>
    <n v="1"/>
    <n v="1417.54"/>
  </r>
  <r>
    <s v="USR_00764"/>
    <s v="B"/>
    <x v="1"/>
    <x v="3"/>
    <x v="0"/>
    <x v="0"/>
    <n v="6"/>
    <n v="0"/>
    <n v="0"/>
  </r>
  <r>
    <s v="USR_00765"/>
    <s v="A"/>
    <x v="0"/>
    <x v="0"/>
    <x v="0"/>
    <x v="0"/>
    <n v="4"/>
    <n v="0"/>
    <n v="0"/>
  </r>
  <r>
    <s v="USR_00766"/>
    <s v="B"/>
    <x v="1"/>
    <x v="3"/>
    <x v="1"/>
    <x v="1"/>
    <n v="6"/>
    <n v="0"/>
    <n v="0"/>
  </r>
  <r>
    <s v="USR_00767"/>
    <s v="B"/>
    <x v="1"/>
    <x v="1"/>
    <x v="0"/>
    <x v="0"/>
    <n v="8"/>
    <n v="0"/>
    <n v="0"/>
  </r>
  <r>
    <s v="USR_00768"/>
    <s v="B"/>
    <x v="1"/>
    <x v="1"/>
    <x v="0"/>
    <x v="0"/>
    <n v="6"/>
    <n v="1"/>
    <n v="2295.17"/>
  </r>
  <r>
    <s v="USR_00769"/>
    <s v="A"/>
    <x v="0"/>
    <x v="1"/>
    <x v="0"/>
    <x v="0"/>
    <n v="8"/>
    <n v="0"/>
    <n v="0"/>
  </r>
  <r>
    <s v="USR_00770"/>
    <s v="B"/>
    <x v="1"/>
    <x v="1"/>
    <x v="1"/>
    <x v="1"/>
    <n v="8"/>
    <n v="1"/>
    <n v="2374.31"/>
  </r>
  <r>
    <s v="USR_00771"/>
    <s v="A"/>
    <x v="0"/>
    <x v="3"/>
    <x v="1"/>
    <x v="1"/>
    <n v="10"/>
    <n v="0"/>
    <n v="0"/>
  </r>
  <r>
    <s v="USR_00772"/>
    <s v="B"/>
    <x v="1"/>
    <x v="3"/>
    <x v="1"/>
    <x v="1"/>
    <n v="6"/>
    <n v="0"/>
    <n v="0"/>
  </r>
  <r>
    <s v="USR_00773"/>
    <s v="A"/>
    <x v="0"/>
    <x v="1"/>
    <x v="0"/>
    <x v="0"/>
    <n v="7"/>
    <n v="0"/>
    <n v="0"/>
  </r>
  <r>
    <s v="USR_00774"/>
    <s v="A"/>
    <x v="0"/>
    <x v="1"/>
    <x v="1"/>
    <x v="1"/>
    <n v="6"/>
    <n v="0"/>
    <n v="0"/>
  </r>
  <r>
    <s v="USR_00775"/>
    <s v="B"/>
    <x v="1"/>
    <x v="0"/>
    <x v="0"/>
    <x v="0"/>
    <n v="11"/>
    <n v="1"/>
    <n v="4871.66"/>
  </r>
  <r>
    <s v="USR_00776"/>
    <s v="A"/>
    <x v="0"/>
    <x v="0"/>
    <x v="0"/>
    <x v="0"/>
    <n v="8"/>
    <n v="1"/>
    <n v="4572.25"/>
  </r>
  <r>
    <s v="USR_00777"/>
    <s v="A"/>
    <x v="0"/>
    <x v="0"/>
    <x v="1"/>
    <x v="1"/>
    <n v="9"/>
    <n v="0"/>
    <n v="0"/>
  </r>
  <r>
    <s v="USR_00778"/>
    <s v="B"/>
    <x v="1"/>
    <x v="1"/>
    <x v="0"/>
    <x v="0"/>
    <n v="4"/>
    <n v="1"/>
    <n v="3309.54"/>
  </r>
  <r>
    <s v="USR_00779"/>
    <s v="B"/>
    <x v="1"/>
    <x v="3"/>
    <x v="0"/>
    <x v="0"/>
    <n v="6"/>
    <n v="0"/>
    <n v="0"/>
  </r>
  <r>
    <s v="USR_00780"/>
    <s v="B"/>
    <x v="1"/>
    <x v="0"/>
    <x v="0"/>
    <x v="0"/>
    <n v="10"/>
    <n v="1"/>
    <n v="5005.33"/>
  </r>
  <r>
    <s v="USR_00781"/>
    <s v="B"/>
    <x v="1"/>
    <x v="1"/>
    <x v="1"/>
    <x v="1"/>
    <n v="3"/>
    <n v="0"/>
    <n v="0"/>
  </r>
  <r>
    <s v="USR_00782"/>
    <s v="B"/>
    <x v="1"/>
    <x v="3"/>
    <x v="0"/>
    <x v="0"/>
    <n v="8"/>
    <n v="0"/>
    <n v="0"/>
  </r>
  <r>
    <s v="USR_00783"/>
    <s v="A"/>
    <x v="0"/>
    <x v="0"/>
    <x v="1"/>
    <x v="1"/>
    <n v="3"/>
    <n v="0"/>
    <n v="0"/>
  </r>
  <r>
    <s v="USR_00784"/>
    <s v="A"/>
    <x v="0"/>
    <x v="0"/>
    <x v="0"/>
    <x v="0"/>
    <n v="4"/>
    <n v="1"/>
    <n v="3201.77"/>
  </r>
  <r>
    <s v="USR_00785"/>
    <s v="A"/>
    <x v="0"/>
    <x v="1"/>
    <x v="0"/>
    <x v="0"/>
    <n v="4"/>
    <n v="0"/>
    <n v="0"/>
  </r>
  <r>
    <s v="USR_00786"/>
    <s v="B"/>
    <x v="1"/>
    <x v="3"/>
    <x v="1"/>
    <x v="1"/>
    <n v="4"/>
    <n v="0"/>
    <n v="0"/>
  </r>
  <r>
    <s v="USR_00787"/>
    <s v="B"/>
    <x v="1"/>
    <x v="3"/>
    <x v="0"/>
    <x v="0"/>
    <n v="6"/>
    <n v="0"/>
    <n v="0"/>
  </r>
  <r>
    <s v="USR_00788"/>
    <s v="A"/>
    <x v="0"/>
    <x v="0"/>
    <x v="1"/>
    <x v="1"/>
    <n v="4"/>
    <n v="0"/>
    <n v="0"/>
  </r>
  <r>
    <s v="USR_00789"/>
    <s v="B"/>
    <x v="1"/>
    <x v="0"/>
    <x v="2"/>
    <x v="2"/>
    <n v="8"/>
    <n v="0"/>
    <n v="0"/>
  </r>
  <r>
    <s v="USR_00790"/>
    <s v="control"/>
    <x v="0"/>
    <x v="3"/>
    <x v="0"/>
    <x v="0"/>
    <n v="11"/>
    <n v="0"/>
    <n v="0"/>
  </r>
  <r>
    <s v="USR_00791"/>
    <s v="A"/>
    <x v="0"/>
    <x v="3"/>
    <x v="0"/>
    <x v="0"/>
    <n v="2"/>
    <n v="0"/>
    <n v="0"/>
  </r>
  <r>
    <s v="USR_00792"/>
    <s v="B"/>
    <x v="1"/>
    <x v="0"/>
    <x v="1"/>
    <x v="1"/>
    <n v="4"/>
    <n v="1"/>
    <n v="5171.74"/>
  </r>
  <r>
    <s v="USR_00793"/>
    <s v="B"/>
    <x v="1"/>
    <x v="3"/>
    <x v="1"/>
    <x v="1"/>
    <n v="6"/>
    <n v="0"/>
    <n v="0"/>
  </r>
  <r>
    <s v="USR_00794"/>
    <s v="B"/>
    <x v="1"/>
    <x v="1"/>
    <x v="1"/>
    <x v="1"/>
    <n v="12"/>
    <n v="0"/>
    <n v="0"/>
  </r>
  <r>
    <s v="USR_00795"/>
    <s v="A"/>
    <x v="0"/>
    <x v="2"/>
    <x v="0"/>
    <x v="0"/>
    <n v="3"/>
    <n v="0"/>
    <n v="0"/>
  </r>
  <r>
    <s v="USR_00796"/>
    <s v="B"/>
    <x v="1"/>
    <x v="3"/>
    <x v="1"/>
    <x v="1"/>
    <n v="7"/>
    <n v="0"/>
    <n v="0"/>
  </r>
  <r>
    <s v="USR_00797"/>
    <s v="control"/>
    <x v="0"/>
    <x v="1"/>
    <x v="0"/>
    <x v="0"/>
    <n v="11"/>
    <n v="0"/>
    <n v="0"/>
  </r>
  <r>
    <s v="USR_00798"/>
    <s v="B"/>
    <x v="1"/>
    <x v="3"/>
    <x v="2"/>
    <x v="2"/>
    <n v="7"/>
    <n v="0"/>
    <n v="0"/>
  </r>
  <r>
    <s v="USR_00799"/>
    <s v="B"/>
    <x v="1"/>
    <x v="3"/>
    <x v="1"/>
    <x v="1"/>
    <n v="6"/>
    <n v="0"/>
    <n v="0"/>
  </r>
  <r>
    <s v="USR_00800"/>
    <s v="control"/>
    <x v="0"/>
    <x v="0"/>
    <x v="0"/>
    <x v="0"/>
    <n v="4"/>
    <n v="0"/>
    <n v="0"/>
  </r>
  <r>
    <s v="USR_00801"/>
    <s v="B"/>
    <x v="1"/>
    <x v="1"/>
    <x v="0"/>
    <x v="0"/>
    <n v="4"/>
    <n v="0"/>
    <n v="0"/>
  </r>
  <r>
    <s v="USR_00802"/>
    <s v="A"/>
    <x v="0"/>
    <x v="2"/>
    <x v="0"/>
    <x v="0"/>
    <n v="8"/>
    <n v="0"/>
    <n v="0"/>
  </r>
  <r>
    <s v="USR_00803"/>
    <s v="B"/>
    <x v="1"/>
    <x v="1"/>
    <x v="0"/>
    <x v="0"/>
    <n v="5"/>
    <n v="0"/>
    <n v="0"/>
  </r>
  <r>
    <s v="USR_00804"/>
    <s v="B"/>
    <x v="1"/>
    <x v="3"/>
    <x v="1"/>
    <x v="1"/>
    <n v="4"/>
    <n v="0"/>
    <n v="0"/>
  </r>
  <r>
    <s v="USR_00805"/>
    <s v="A"/>
    <x v="0"/>
    <x v="3"/>
    <x v="0"/>
    <x v="0"/>
    <n v="2"/>
    <n v="0"/>
    <n v="0"/>
  </r>
  <r>
    <s v="USR_00806"/>
    <s v="B"/>
    <x v="1"/>
    <x v="3"/>
    <x v="0"/>
    <x v="0"/>
    <n v="5"/>
    <n v="0"/>
    <n v="0"/>
  </r>
  <r>
    <s v="USR_00807"/>
    <s v="control"/>
    <x v="0"/>
    <x v="3"/>
    <x v="0"/>
    <x v="0"/>
    <n v="5"/>
    <n v="0"/>
    <n v="0"/>
  </r>
  <r>
    <s v="USR_00808"/>
    <s v="control"/>
    <x v="0"/>
    <x v="3"/>
    <x v="2"/>
    <x v="2"/>
    <n v="5"/>
    <n v="0"/>
    <n v="0"/>
  </r>
  <r>
    <s v="USR_00809"/>
    <s v="A"/>
    <x v="0"/>
    <x v="3"/>
    <x v="1"/>
    <x v="1"/>
    <n v="7"/>
    <n v="0"/>
    <n v="0"/>
  </r>
  <r>
    <s v="USR_00810"/>
    <s v="A"/>
    <x v="0"/>
    <x v="1"/>
    <x v="0"/>
    <x v="0"/>
    <n v="1"/>
    <n v="0"/>
    <n v="0"/>
  </r>
  <r>
    <s v="USR_00811"/>
    <s v="variant_b"/>
    <x v="1"/>
    <x v="1"/>
    <x v="0"/>
    <x v="0"/>
    <n v="3"/>
    <n v="0"/>
    <n v="0"/>
  </r>
  <r>
    <s v="USR_00812"/>
    <s v="B"/>
    <x v="1"/>
    <x v="1"/>
    <x v="2"/>
    <x v="2"/>
    <n v="6"/>
    <n v="0"/>
    <n v="0"/>
  </r>
  <r>
    <s v="USR_00813"/>
    <s v="A"/>
    <x v="0"/>
    <x v="1"/>
    <x v="0"/>
    <x v="0"/>
    <n v="3"/>
    <n v="0"/>
    <n v="0"/>
  </r>
  <r>
    <s v="USR_00814"/>
    <s v="control"/>
    <x v="0"/>
    <x v="3"/>
    <x v="0"/>
    <x v="0"/>
    <n v="9"/>
    <n v="0"/>
    <n v="0"/>
  </r>
  <r>
    <s v="USR_00815"/>
    <s v="B"/>
    <x v="1"/>
    <x v="3"/>
    <x v="0"/>
    <x v="0"/>
    <n v="3"/>
    <n v="0"/>
    <n v="0"/>
  </r>
  <r>
    <s v="USR_00816"/>
    <s v="B"/>
    <x v="1"/>
    <x v="1"/>
    <x v="0"/>
    <x v="0"/>
    <n v="4"/>
    <n v="0"/>
    <n v="0"/>
  </r>
  <r>
    <s v="USR_00817"/>
    <s v="B"/>
    <x v="1"/>
    <x v="1"/>
    <x v="0"/>
    <x v="0"/>
    <n v="11"/>
    <n v="0"/>
    <n v="0"/>
  </r>
  <r>
    <s v="USR_00818"/>
    <s v="A"/>
    <x v="0"/>
    <x v="3"/>
    <x v="1"/>
    <x v="1"/>
    <n v="1"/>
    <n v="0"/>
    <n v="0"/>
  </r>
  <r>
    <s v="USR_00819"/>
    <s v="A"/>
    <x v="0"/>
    <x v="0"/>
    <x v="1"/>
    <x v="1"/>
    <n v="10"/>
    <n v="0"/>
    <n v="0"/>
  </r>
  <r>
    <s v="USR_00820"/>
    <s v="A"/>
    <x v="0"/>
    <x v="0"/>
    <x v="0"/>
    <x v="0"/>
    <n v="4"/>
    <n v="0"/>
    <n v="0"/>
  </r>
  <r>
    <s v="USR_00821"/>
    <s v="B"/>
    <x v="1"/>
    <x v="1"/>
    <x v="0"/>
    <x v="0"/>
    <n v="10"/>
    <n v="0"/>
    <n v="0"/>
  </r>
  <r>
    <s v="USR_00822"/>
    <s v="A"/>
    <x v="0"/>
    <x v="3"/>
    <x v="0"/>
    <x v="0"/>
    <n v="2"/>
    <n v="0"/>
    <n v="0"/>
  </r>
  <r>
    <s v="USR_00823"/>
    <s v="A"/>
    <x v="0"/>
    <x v="1"/>
    <x v="1"/>
    <x v="1"/>
    <n v="5"/>
    <n v="0"/>
    <n v="0"/>
  </r>
  <r>
    <s v="USR_00824"/>
    <s v="A"/>
    <x v="0"/>
    <x v="1"/>
    <x v="1"/>
    <x v="1"/>
    <n v="5"/>
    <n v="1"/>
    <n v="2171.5500000000002"/>
  </r>
  <r>
    <s v="USR_00825"/>
    <s v="B"/>
    <x v="1"/>
    <x v="0"/>
    <x v="0"/>
    <x v="0"/>
    <n v="8"/>
    <n v="0"/>
    <n v="0"/>
  </r>
  <r>
    <s v="USR_00826"/>
    <s v="B"/>
    <x v="1"/>
    <x v="1"/>
    <x v="0"/>
    <x v="0"/>
    <n v="4"/>
    <n v="0"/>
    <n v="0"/>
  </r>
  <r>
    <s v="USR_00827"/>
    <s v="A"/>
    <x v="0"/>
    <x v="0"/>
    <x v="1"/>
    <x v="1"/>
    <n v="2"/>
    <n v="0"/>
    <n v="0"/>
  </r>
  <r>
    <s v="USR_00828"/>
    <s v="A"/>
    <x v="0"/>
    <x v="1"/>
    <x v="0"/>
    <x v="0"/>
    <n v="6"/>
    <n v="0"/>
    <n v="0"/>
  </r>
  <r>
    <s v="USR_00829"/>
    <s v="B"/>
    <x v="1"/>
    <x v="3"/>
    <x v="0"/>
    <x v="0"/>
    <n v="7"/>
    <n v="1"/>
    <n v="1317.73"/>
  </r>
  <r>
    <s v="USR_00830"/>
    <s v="A"/>
    <x v="0"/>
    <x v="1"/>
    <x v="1"/>
    <x v="1"/>
    <n v="6"/>
    <n v="0"/>
    <n v="0"/>
  </r>
  <r>
    <s v="USR_00831"/>
    <s v="A"/>
    <x v="0"/>
    <x v="1"/>
    <x v="2"/>
    <x v="2"/>
    <n v="7"/>
    <n v="0"/>
    <n v="0"/>
  </r>
  <r>
    <s v="USR_00832"/>
    <s v="A"/>
    <x v="0"/>
    <x v="1"/>
    <x v="0"/>
    <x v="0"/>
    <n v="3"/>
    <n v="0"/>
    <n v="0"/>
  </r>
  <r>
    <s v="USR_00833"/>
    <s v="A"/>
    <x v="0"/>
    <x v="3"/>
    <x v="1"/>
    <x v="1"/>
    <n v="5"/>
    <n v="0"/>
    <n v="0"/>
  </r>
  <r>
    <s v="USR_00834"/>
    <s v="A"/>
    <x v="0"/>
    <x v="3"/>
    <x v="0"/>
    <x v="0"/>
    <n v="10"/>
    <n v="0"/>
    <n v="0"/>
  </r>
  <r>
    <s v="USR_00835"/>
    <s v="B"/>
    <x v="1"/>
    <x v="0"/>
    <x v="1"/>
    <x v="1"/>
    <n v="5"/>
    <n v="1"/>
    <n v="7633.49"/>
  </r>
  <r>
    <s v="USR_00836"/>
    <s v="A"/>
    <x v="0"/>
    <x v="1"/>
    <x v="1"/>
    <x v="1"/>
    <n v="8"/>
    <n v="0"/>
    <n v="0"/>
  </r>
  <r>
    <s v="USR_00837"/>
    <s v="B"/>
    <x v="1"/>
    <x v="0"/>
    <x v="0"/>
    <x v="0"/>
    <n v="6"/>
    <n v="0"/>
    <n v="0"/>
  </r>
  <r>
    <s v="USR_00838"/>
    <s v="A"/>
    <x v="0"/>
    <x v="1"/>
    <x v="0"/>
    <x v="0"/>
    <n v="8"/>
    <n v="0"/>
    <n v="0"/>
  </r>
  <r>
    <s v="USR_00839"/>
    <s v="B"/>
    <x v="1"/>
    <x v="1"/>
    <x v="1"/>
    <x v="1"/>
    <n v="6"/>
    <n v="0"/>
    <n v="0"/>
  </r>
  <r>
    <s v="USR_00840"/>
    <s v="B"/>
    <x v="1"/>
    <x v="1"/>
    <x v="1"/>
    <x v="1"/>
    <n v="5"/>
    <n v="0"/>
    <n v="0"/>
  </r>
  <r>
    <s v="USR_00841"/>
    <s v="A"/>
    <x v="0"/>
    <x v="0"/>
    <x v="0"/>
    <x v="0"/>
    <n v="5"/>
    <n v="1"/>
    <n v="6447"/>
  </r>
  <r>
    <s v="USR_00842"/>
    <s v="B"/>
    <x v="1"/>
    <x v="1"/>
    <x v="0"/>
    <x v="0"/>
    <n v="5"/>
    <n v="0"/>
    <n v="0"/>
  </r>
  <r>
    <s v="USR_00843"/>
    <s v="A"/>
    <x v="0"/>
    <x v="1"/>
    <x v="0"/>
    <x v="0"/>
    <n v="5"/>
    <n v="0"/>
    <n v="0"/>
  </r>
  <r>
    <s v="USR_00844"/>
    <s v="variant_b"/>
    <x v="1"/>
    <x v="3"/>
    <x v="0"/>
    <x v="0"/>
    <n v="8"/>
    <n v="0"/>
    <n v="0"/>
  </r>
  <r>
    <s v="USR_00845"/>
    <s v="A"/>
    <x v="0"/>
    <x v="1"/>
    <x v="0"/>
    <x v="0"/>
    <n v="7"/>
    <n v="0"/>
    <n v="0"/>
  </r>
  <r>
    <s v="USR_00846"/>
    <s v="A"/>
    <x v="0"/>
    <x v="1"/>
    <x v="0"/>
    <x v="0"/>
    <n v="4"/>
    <n v="0"/>
    <n v="0"/>
  </r>
  <r>
    <s v="USR_00847"/>
    <s v="A"/>
    <x v="0"/>
    <x v="3"/>
    <x v="0"/>
    <x v="0"/>
    <n v="3"/>
    <n v="0"/>
    <n v="0"/>
  </r>
  <r>
    <s v="USR_00848"/>
    <s v="variant_b"/>
    <x v="1"/>
    <x v="3"/>
    <x v="1"/>
    <x v="1"/>
    <n v="3"/>
    <n v="0"/>
    <n v="0"/>
  </r>
  <r>
    <s v="USR_00849"/>
    <s v="B"/>
    <x v="1"/>
    <x v="3"/>
    <x v="0"/>
    <x v="0"/>
    <n v="7"/>
    <n v="0"/>
    <n v="0"/>
  </r>
  <r>
    <s v="USR_00850"/>
    <s v="B"/>
    <x v="1"/>
    <x v="3"/>
    <x v="0"/>
    <x v="0"/>
    <n v="2"/>
    <n v="0"/>
    <n v="0"/>
  </r>
  <r>
    <s v="USR_00851"/>
    <s v="A"/>
    <x v="0"/>
    <x v="3"/>
    <x v="0"/>
    <x v="0"/>
    <n v="9"/>
    <n v="0"/>
    <n v="0"/>
  </r>
  <r>
    <s v="USR_00852"/>
    <s v="B"/>
    <x v="1"/>
    <x v="1"/>
    <x v="1"/>
    <x v="1"/>
    <n v="6"/>
    <n v="0"/>
    <n v="0"/>
  </r>
  <r>
    <s v="USR_00853"/>
    <s v="A"/>
    <x v="0"/>
    <x v="0"/>
    <x v="0"/>
    <x v="0"/>
    <n v="9"/>
    <n v="0"/>
    <n v="0"/>
  </r>
  <r>
    <s v="USR_00854"/>
    <s v="B"/>
    <x v="1"/>
    <x v="1"/>
    <x v="0"/>
    <x v="0"/>
    <n v="10"/>
    <n v="0"/>
    <n v="0"/>
  </r>
  <r>
    <s v="USR_00855"/>
    <s v="A"/>
    <x v="0"/>
    <x v="3"/>
    <x v="0"/>
    <x v="0"/>
    <n v="4"/>
    <n v="0"/>
    <n v="0"/>
  </r>
  <r>
    <s v="USR_00856"/>
    <s v="A"/>
    <x v="0"/>
    <x v="3"/>
    <x v="1"/>
    <x v="1"/>
    <n v="5"/>
    <n v="0"/>
    <n v="0"/>
  </r>
  <r>
    <s v="USR_00857"/>
    <s v="A"/>
    <x v="0"/>
    <x v="1"/>
    <x v="0"/>
    <x v="0"/>
    <n v="7"/>
    <n v="0"/>
    <n v="0"/>
  </r>
  <r>
    <s v="USR_00858"/>
    <s v="B"/>
    <x v="1"/>
    <x v="3"/>
    <x v="0"/>
    <x v="0"/>
    <n v="4"/>
    <n v="0"/>
    <n v="0"/>
  </r>
  <r>
    <s v="USR_00859"/>
    <s v="B"/>
    <x v="1"/>
    <x v="0"/>
    <x v="0"/>
    <x v="0"/>
    <n v="5"/>
    <n v="1"/>
    <n v="5666.91"/>
  </r>
  <r>
    <s v="USR_00860"/>
    <s v="A"/>
    <x v="0"/>
    <x v="1"/>
    <x v="1"/>
    <x v="1"/>
    <n v="7"/>
    <n v="0"/>
    <n v="0"/>
  </r>
  <r>
    <s v="USR_00861"/>
    <s v="B"/>
    <x v="1"/>
    <x v="0"/>
    <x v="0"/>
    <x v="0"/>
    <n v="7"/>
    <n v="1"/>
    <n v="3723.09"/>
  </r>
  <r>
    <s v="USR_00862"/>
    <s v="A"/>
    <x v="0"/>
    <x v="3"/>
    <x v="0"/>
    <x v="0"/>
    <n v="5"/>
    <n v="0"/>
    <n v="0"/>
  </r>
  <r>
    <s v="USR_00863"/>
    <s v="B"/>
    <x v="1"/>
    <x v="1"/>
    <x v="0"/>
    <x v="0"/>
    <n v="10"/>
    <n v="0"/>
    <n v="0"/>
  </r>
  <r>
    <s v="USR_00864"/>
    <s v="A"/>
    <x v="0"/>
    <x v="3"/>
    <x v="0"/>
    <x v="0"/>
    <n v="6"/>
    <n v="0"/>
    <n v="0"/>
  </r>
  <r>
    <s v="USR_00865"/>
    <s v="A"/>
    <x v="0"/>
    <x v="2"/>
    <x v="1"/>
    <x v="1"/>
    <n v="7"/>
    <n v="1"/>
    <n v="1192.3599999999999"/>
  </r>
  <r>
    <s v="USR_00866"/>
    <s v="B"/>
    <x v="1"/>
    <x v="1"/>
    <x v="0"/>
    <x v="0"/>
    <n v="6"/>
    <n v="1"/>
    <n v="2605.79"/>
  </r>
  <r>
    <s v="USR_00867"/>
    <s v="A"/>
    <x v="0"/>
    <x v="3"/>
    <x v="1"/>
    <x v="1"/>
    <n v="7"/>
    <n v="0"/>
    <n v="0"/>
  </r>
  <r>
    <s v="USR_00868"/>
    <s v="A"/>
    <x v="0"/>
    <x v="3"/>
    <x v="0"/>
    <x v="0"/>
    <n v="8"/>
    <n v="0"/>
    <n v="0"/>
  </r>
  <r>
    <s v="USR_00869"/>
    <s v="B"/>
    <x v="1"/>
    <x v="3"/>
    <x v="1"/>
    <x v="1"/>
    <n v="5"/>
    <n v="1"/>
    <n v="1154.3699999999999"/>
  </r>
  <r>
    <s v="USR_00870"/>
    <s v="control"/>
    <x v="0"/>
    <x v="1"/>
    <x v="1"/>
    <x v="1"/>
    <n v="5"/>
    <n v="0"/>
    <n v="0"/>
  </r>
  <r>
    <s v="USR_00871"/>
    <s v="A"/>
    <x v="0"/>
    <x v="3"/>
    <x v="0"/>
    <x v="0"/>
    <n v="5"/>
    <n v="0"/>
    <n v="0"/>
  </r>
  <r>
    <s v="USR_00872"/>
    <s v="A"/>
    <x v="0"/>
    <x v="1"/>
    <x v="0"/>
    <x v="0"/>
    <n v="9"/>
    <n v="0"/>
    <n v="0"/>
  </r>
  <r>
    <s v="USR_00873"/>
    <s v="B"/>
    <x v="1"/>
    <x v="3"/>
    <x v="1"/>
    <x v="1"/>
    <n v="3"/>
    <n v="0"/>
    <n v="0"/>
  </r>
  <r>
    <s v="USR_00874"/>
    <s v="A"/>
    <x v="0"/>
    <x v="1"/>
    <x v="0"/>
    <x v="0"/>
    <n v="2"/>
    <n v="0"/>
    <n v="0"/>
  </r>
  <r>
    <s v="USR_00875"/>
    <s v="A"/>
    <x v="0"/>
    <x v="0"/>
    <x v="0"/>
    <x v="0"/>
    <n v="7"/>
    <n v="0"/>
    <n v="0"/>
  </r>
  <r>
    <s v="USR_00876"/>
    <s v="A"/>
    <x v="0"/>
    <x v="0"/>
    <x v="0"/>
    <x v="0"/>
    <n v="3"/>
    <n v="1"/>
    <n v="4489.26"/>
  </r>
  <r>
    <s v="USR_00877"/>
    <s v="B"/>
    <x v="1"/>
    <x v="1"/>
    <x v="0"/>
    <x v="0"/>
    <n v="3"/>
    <n v="0"/>
    <n v="0"/>
  </r>
  <r>
    <s v="USR_00878"/>
    <s v="B"/>
    <x v="1"/>
    <x v="3"/>
    <x v="1"/>
    <x v="1"/>
    <n v="5"/>
    <n v="0"/>
    <n v="0"/>
  </r>
  <r>
    <s v="USR_00879"/>
    <s v="A"/>
    <x v="0"/>
    <x v="3"/>
    <x v="0"/>
    <x v="0"/>
    <n v="5"/>
    <n v="0"/>
    <n v="0"/>
  </r>
  <r>
    <s v="USR_00880"/>
    <s v="A"/>
    <x v="0"/>
    <x v="1"/>
    <x v="0"/>
    <x v="0"/>
    <n v="2"/>
    <n v="0"/>
    <n v="0"/>
  </r>
  <r>
    <s v="USR_00881"/>
    <s v="A"/>
    <x v="0"/>
    <x v="3"/>
    <x v="0"/>
    <x v="0"/>
    <n v="7"/>
    <n v="0"/>
    <n v="0"/>
  </r>
  <r>
    <s v="USR_00882"/>
    <s v="B"/>
    <x v="1"/>
    <x v="1"/>
    <x v="1"/>
    <x v="1"/>
    <n v="5"/>
    <n v="0"/>
    <n v="0"/>
  </r>
  <r>
    <s v="USR_00883"/>
    <s v="A"/>
    <x v="0"/>
    <x v="3"/>
    <x v="0"/>
    <x v="0"/>
    <n v="12"/>
    <n v="0"/>
    <n v="0"/>
  </r>
  <r>
    <s v="USR_00884"/>
    <s v="A"/>
    <x v="0"/>
    <x v="3"/>
    <x v="2"/>
    <x v="2"/>
    <n v="5"/>
    <n v="0"/>
    <n v="0"/>
  </r>
  <r>
    <s v="USR_00885"/>
    <s v="B"/>
    <x v="1"/>
    <x v="3"/>
    <x v="0"/>
    <x v="0"/>
    <n v="6"/>
    <n v="0"/>
    <n v="0"/>
  </r>
  <r>
    <s v="USR_00886"/>
    <s v="A"/>
    <x v="0"/>
    <x v="0"/>
    <x v="0"/>
    <x v="0"/>
    <n v="10"/>
    <n v="0"/>
    <n v="0"/>
  </r>
  <r>
    <s v="USR_00887"/>
    <s v="B"/>
    <x v="1"/>
    <x v="3"/>
    <x v="1"/>
    <x v="1"/>
    <n v="1"/>
    <n v="0"/>
    <n v="0"/>
  </r>
  <r>
    <s v="USR_00888"/>
    <s v="A"/>
    <x v="0"/>
    <x v="1"/>
    <x v="1"/>
    <x v="1"/>
    <n v="11"/>
    <n v="0"/>
    <n v="0"/>
  </r>
  <r>
    <s v="USR_00889"/>
    <s v="A"/>
    <x v="0"/>
    <x v="3"/>
    <x v="1"/>
    <x v="1"/>
    <n v="6"/>
    <n v="0"/>
    <n v="0"/>
  </r>
  <r>
    <s v="USR_00890"/>
    <s v="A"/>
    <x v="0"/>
    <x v="1"/>
    <x v="0"/>
    <x v="0"/>
    <n v="5"/>
    <n v="0"/>
    <n v="0"/>
  </r>
  <r>
    <s v="USR_00891"/>
    <s v="B"/>
    <x v="1"/>
    <x v="3"/>
    <x v="1"/>
    <x v="1"/>
    <n v="7"/>
    <n v="0"/>
    <n v="0"/>
  </r>
  <r>
    <s v="USR_00892"/>
    <s v="B"/>
    <x v="1"/>
    <x v="0"/>
    <x v="1"/>
    <x v="1"/>
    <n v="7"/>
    <n v="0"/>
    <n v="0"/>
  </r>
  <r>
    <s v="USR_00893"/>
    <s v="B"/>
    <x v="1"/>
    <x v="0"/>
    <x v="0"/>
    <x v="0"/>
    <n v="5"/>
    <n v="0"/>
    <n v="0"/>
  </r>
  <r>
    <s v="USR_00894"/>
    <s v="A"/>
    <x v="0"/>
    <x v="3"/>
    <x v="0"/>
    <x v="0"/>
    <n v="8"/>
    <n v="0"/>
    <n v="0"/>
  </r>
  <r>
    <s v="USR_00895"/>
    <s v="B"/>
    <x v="1"/>
    <x v="0"/>
    <x v="0"/>
    <x v="0"/>
    <n v="6"/>
    <n v="1"/>
    <n v="6215.01"/>
  </r>
  <r>
    <s v="USR_00896"/>
    <s v="A"/>
    <x v="0"/>
    <x v="2"/>
    <x v="0"/>
    <x v="0"/>
    <n v="5"/>
    <n v="0"/>
    <n v="0"/>
  </r>
  <r>
    <s v="USR_00897"/>
    <s v="A"/>
    <x v="0"/>
    <x v="0"/>
    <x v="1"/>
    <x v="1"/>
    <n v="7"/>
    <n v="1"/>
    <n v="6413.79"/>
  </r>
  <r>
    <s v="USR_00898"/>
    <s v="B"/>
    <x v="1"/>
    <x v="0"/>
    <x v="0"/>
    <x v="0"/>
    <n v="3"/>
    <n v="0"/>
    <n v="0"/>
  </r>
  <r>
    <s v="USR_00899"/>
    <s v="A"/>
    <x v="0"/>
    <x v="3"/>
    <x v="1"/>
    <x v="1"/>
    <n v="6"/>
    <n v="0"/>
    <n v="0"/>
  </r>
  <r>
    <s v="USR_00900"/>
    <s v="A"/>
    <x v="0"/>
    <x v="1"/>
    <x v="1"/>
    <x v="1"/>
    <n v="5"/>
    <n v="1"/>
    <n v="2739.51"/>
  </r>
  <r>
    <s v="USR_00901"/>
    <s v="A"/>
    <x v="0"/>
    <x v="3"/>
    <x v="1"/>
    <x v="1"/>
    <n v="14"/>
    <n v="0"/>
    <n v="0"/>
  </r>
  <r>
    <s v="USR_00902"/>
    <s v="A"/>
    <x v="0"/>
    <x v="3"/>
    <x v="1"/>
    <x v="1"/>
    <n v="5"/>
    <n v="0"/>
    <n v="0"/>
  </r>
  <r>
    <s v="USR_00903"/>
    <s v="A"/>
    <x v="0"/>
    <x v="2"/>
    <x v="0"/>
    <x v="0"/>
    <n v="13"/>
    <n v="0"/>
    <n v="0"/>
  </r>
  <r>
    <s v="USR_00904"/>
    <s v="B"/>
    <x v="1"/>
    <x v="3"/>
    <x v="0"/>
    <x v="0"/>
    <n v="6"/>
    <n v="0"/>
    <n v="0"/>
  </r>
  <r>
    <s v="USR_00905"/>
    <s v="A"/>
    <x v="0"/>
    <x v="1"/>
    <x v="0"/>
    <x v="0"/>
    <n v="2"/>
    <n v="0"/>
    <n v="0"/>
  </r>
  <r>
    <s v="USR_00906"/>
    <s v="B"/>
    <x v="1"/>
    <x v="0"/>
    <x v="1"/>
    <x v="1"/>
    <n v="4"/>
    <n v="0"/>
    <n v="0"/>
  </r>
  <r>
    <s v="USR_00907"/>
    <s v="B"/>
    <x v="1"/>
    <x v="0"/>
    <x v="0"/>
    <x v="0"/>
    <n v="4"/>
    <n v="0"/>
    <n v="0"/>
  </r>
  <r>
    <s v="USR_00908"/>
    <s v="A"/>
    <x v="0"/>
    <x v="2"/>
    <x v="1"/>
    <x v="1"/>
    <n v="5"/>
    <n v="0"/>
    <n v="0"/>
  </r>
  <r>
    <s v="USR_00909"/>
    <s v="A"/>
    <x v="0"/>
    <x v="3"/>
    <x v="0"/>
    <x v="0"/>
    <n v="3"/>
    <n v="0"/>
    <n v="0"/>
  </r>
  <r>
    <s v="USR_00910"/>
    <s v="A"/>
    <x v="0"/>
    <x v="3"/>
    <x v="0"/>
    <x v="0"/>
    <n v="10"/>
    <n v="0"/>
    <n v="0"/>
  </r>
  <r>
    <s v="USR_00911"/>
    <s v="B"/>
    <x v="1"/>
    <x v="3"/>
    <x v="0"/>
    <x v="0"/>
    <n v="5"/>
    <n v="1"/>
    <n v="947.96"/>
  </r>
  <r>
    <s v="USR_00912"/>
    <s v="A"/>
    <x v="0"/>
    <x v="3"/>
    <x v="1"/>
    <x v="1"/>
    <n v="4"/>
    <n v="0"/>
    <n v="0"/>
  </r>
  <r>
    <s v="USR_00913"/>
    <s v="B"/>
    <x v="1"/>
    <x v="3"/>
    <x v="1"/>
    <x v="1"/>
    <n v="6"/>
    <n v="0"/>
    <n v="0"/>
  </r>
  <r>
    <s v="USR_00914"/>
    <s v="A"/>
    <x v="0"/>
    <x v="3"/>
    <x v="0"/>
    <x v="0"/>
    <n v="8"/>
    <n v="0"/>
    <n v="0"/>
  </r>
  <r>
    <s v="USR_00915"/>
    <s v="B"/>
    <x v="1"/>
    <x v="0"/>
    <x v="0"/>
    <x v="0"/>
    <n v="6"/>
    <n v="1"/>
    <n v="5495.79"/>
  </r>
  <r>
    <s v="USR_00916"/>
    <s v="A"/>
    <x v="0"/>
    <x v="1"/>
    <x v="0"/>
    <x v="0"/>
    <n v="7"/>
    <n v="0"/>
    <n v="0"/>
  </r>
  <r>
    <s v="USR_00917"/>
    <s v="A"/>
    <x v="0"/>
    <x v="3"/>
    <x v="2"/>
    <x v="2"/>
    <n v="3"/>
    <n v="0"/>
    <n v="0"/>
  </r>
  <r>
    <s v="USR_00918"/>
    <s v="control"/>
    <x v="0"/>
    <x v="1"/>
    <x v="1"/>
    <x v="1"/>
    <n v="10"/>
    <n v="1"/>
    <n v="1736.72"/>
  </r>
  <r>
    <s v="USR_00919"/>
    <s v="B"/>
    <x v="1"/>
    <x v="3"/>
    <x v="0"/>
    <x v="0"/>
    <n v="7"/>
    <n v="0"/>
    <n v="0"/>
  </r>
  <r>
    <s v="USR_00920"/>
    <s v="A"/>
    <x v="0"/>
    <x v="3"/>
    <x v="1"/>
    <x v="1"/>
    <n v="10"/>
    <n v="0"/>
    <n v="0"/>
  </r>
  <r>
    <s v="USR_00921"/>
    <s v="B"/>
    <x v="1"/>
    <x v="1"/>
    <x v="0"/>
    <x v="0"/>
    <n v="3"/>
    <n v="0"/>
    <n v="0"/>
  </r>
  <r>
    <s v="USR_00922"/>
    <s v="B"/>
    <x v="1"/>
    <x v="1"/>
    <x v="1"/>
    <x v="1"/>
    <n v="3"/>
    <n v="0"/>
    <n v="0"/>
  </r>
  <r>
    <s v="USR_00923"/>
    <s v="B"/>
    <x v="1"/>
    <x v="1"/>
    <x v="0"/>
    <x v="0"/>
    <n v="5"/>
    <n v="0"/>
    <n v="0"/>
  </r>
  <r>
    <s v="USR_00924"/>
    <s v="B"/>
    <x v="1"/>
    <x v="3"/>
    <x v="1"/>
    <x v="1"/>
    <n v="8"/>
    <n v="0"/>
    <n v="0"/>
  </r>
  <r>
    <s v="USR_00925"/>
    <s v="A"/>
    <x v="0"/>
    <x v="0"/>
    <x v="0"/>
    <x v="0"/>
    <n v="4"/>
    <n v="0"/>
    <n v="0"/>
  </r>
  <r>
    <s v="USR_00926"/>
    <s v="A"/>
    <x v="0"/>
    <x v="1"/>
    <x v="1"/>
    <x v="1"/>
    <n v="11"/>
    <n v="0"/>
    <n v="0"/>
  </r>
  <r>
    <s v="USR_00927"/>
    <s v="A"/>
    <x v="0"/>
    <x v="1"/>
    <x v="1"/>
    <x v="1"/>
    <n v="4"/>
    <n v="0"/>
    <n v="0"/>
  </r>
  <r>
    <s v="USR_00928"/>
    <s v="B"/>
    <x v="1"/>
    <x v="1"/>
    <x v="1"/>
    <x v="1"/>
    <n v="11"/>
    <n v="0"/>
    <n v="0"/>
  </r>
  <r>
    <s v="USR_00929"/>
    <s v="B"/>
    <x v="1"/>
    <x v="0"/>
    <x v="1"/>
    <x v="1"/>
    <n v="2"/>
    <n v="0"/>
    <n v="0"/>
  </r>
  <r>
    <s v="USR_00930"/>
    <s v="A"/>
    <x v="0"/>
    <x v="1"/>
    <x v="0"/>
    <x v="0"/>
    <n v="4"/>
    <n v="0"/>
    <n v="0"/>
  </r>
  <r>
    <s v="USR_00931"/>
    <s v="A"/>
    <x v="0"/>
    <x v="1"/>
    <x v="0"/>
    <x v="0"/>
    <n v="3"/>
    <n v="0"/>
    <n v="0"/>
  </r>
  <r>
    <s v="USR_00932"/>
    <s v="B"/>
    <x v="1"/>
    <x v="2"/>
    <x v="0"/>
    <x v="0"/>
    <n v="2"/>
    <n v="0"/>
    <n v="0"/>
  </r>
  <r>
    <s v="USR_00933"/>
    <s v="variant_b"/>
    <x v="1"/>
    <x v="1"/>
    <x v="0"/>
    <x v="0"/>
    <n v="8"/>
    <n v="0"/>
    <n v="0"/>
  </r>
  <r>
    <s v="USR_00934"/>
    <s v="B"/>
    <x v="1"/>
    <x v="1"/>
    <x v="2"/>
    <x v="2"/>
    <n v="3"/>
    <n v="1"/>
    <n v="2083.0700000000002"/>
  </r>
  <r>
    <s v="USR_00935"/>
    <s v="A"/>
    <x v="0"/>
    <x v="1"/>
    <x v="0"/>
    <x v="0"/>
    <n v="11"/>
    <n v="1"/>
    <n v="2650.7"/>
  </r>
  <r>
    <s v="USR_00936"/>
    <s v="A"/>
    <x v="0"/>
    <x v="3"/>
    <x v="1"/>
    <x v="1"/>
    <n v="4"/>
    <n v="0"/>
    <n v="0"/>
  </r>
  <r>
    <s v="USR_00937"/>
    <s v="A"/>
    <x v="0"/>
    <x v="3"/>
    <x v="1"/>
    <x v="1"/>
    <n v="6"/>
    <n v="0"/>
    <n v="0"/>
  </r>
  <r>
    <s v="USR_00938"/>
    <s v="B"/>
    <x v="1"/>
    <x v="1"/>
    <x v="0"/>
    <x v="0"/>
    <n v="3"/>
    <n v="0"/>
    <n v="0"/>
  </r>
  <r>
    <s v="USR_00939"/>
    <s v="A"/>
    <x v="0"/>
    <x v="2"/>
    <x v="0"/>
    <x v="0"/>
    <n v="7"/>
    <n v="0"/>
    <n v="0"/>
  </r>
  <r>
    <s v="USR_00940"/>
    <s v="B"/>
    <x v="1"/>
    <x v="2"/>
    <x v="0"/>
    <x v="0"/>
    <n v="3"/>
    <n v="1"/>
    <n v="1653.64"/>
  </r>
  <r>
    <s v="USR_00941"/>
    <s v="A"/>
    <x v="0"/>
    <x v="3"/>
    <x v="0"/>
    <x v="0"/>
    <n v="3"/>
    <n v="0"/>
    <n v="0"/>
  </r>
  <r>
    <s v="USR_00942"/>
    <s v="B"/>
    <x v="1"/>
    <x v="1"/>
    <x v="0"/>
    <x v="0"/>
    <n v="5"/>
    <n v="0"/>
    <n v="0"/>
  </r>
  <r>
    <s v="USR_00943"/>
    <s v="B"/>
    <x v="1"/>
    <x v="3"/>
    <x v="0"/>
    <x v="0"/>
    <n v="13"/>
    <n v="0"/>
    <n v="0"/>
  </r>
  <r>
    <s v="USR_00944"/>
    <s v="B"/>
    <x v="1"/>
    <x v="2"/>
    <x v="0"/>
    <x v="0"/>
    <n v="6"/>
    <n v="0"/>
    <n v="0"/>
  </r>
  <r>
    <s v="USR_00945"/>
    <s v="A"/>
    <x v="0"/>
    <x v="2"/>
    <x v="1"/>
    <x v="1"/>
    <n v="5"/>
    <n v="0"/>
    <n v="0"/>
  </r>
  <r>
    <s v="USR_00946"/>
    <s v="A"/>
    <x v="0"/>
    <x v="1"/>
    <x v="0"/>
    <x v="0"/>
    <n v="7"/>
    <n v="0"/>
    <n v="0"/>
  </r>
  <r>
    <s v="USR_00947"/>
    <s v="A"/>
    <x v="0"/>
    <x v="0"/>
    <x v="0"/>
    <x v="0"/>
    <n v="13"/>
    <n v="0"/>
    <n v="0"/>
  </r>
  <r>
    <s v="USR_00948"/>
    <s v="B"/>
    <x v="1"/>
    <x v="1"/>
    <x v="0"/>
    <x v="0"/>
    <n v="6"/>
    <n v="0"/>
    <n v="0"/>
  </r>
  <r>
    <s v="USR_00949"/>
    <s v="B"/>
    <x v="1"/>
    <x v="1"/>
    <x v="1"/>
    <x v="1"/>
    <n v="6"/>
    <n v="0"/>
    <n v="0"/>
  </r>
  <r>
    <s v="USR_00950"/>
    <s v="B"/>
    <x v="1"/>
    <x v="3"/>
    <x v="0"/>
    <x v="0"/>
    <n v="2"/>
    <n v="0"/>
    <n v="0"/>
  </r>
  <r>
    <s v="USR_00951"/>
    <s v="B"/>
    <x v="1"/>
    <x v="1"/>
    <x v="0"/>
    <x v="0"/>
    <n v="7"/>
    <n v="0"/>
    <n v="0"/>
  </r>
  <r>
    <s v="USR_00952"/>
    <s v="B"/>
    <x v="1"/>
    <x v="1"/>
    <x v="0"/>
    <x v="0"/>
    <n v="3"/>
    <n v="0"/>
    <n v="0"/>
  </r>
  <r>
    <s v="USR_00953"/>
    <s v="A"/>
    <x v="0"/>
    <x v="1"/>
    <x v="1"/>
    <x v="1"/>
    <n v="5"/>
    <n v="0"/>
    <n v="0"/>
  </r>
  <r>
    <s v="USR_00954"/>
    <s v="B"/>
    <x v="1"/>
    <x v="3"/>
    <x v="1"/>
    <x v="1"/>
    <n v="9"/>
    <n v="1"/>
    <n v="858.62"/>
  </r>
  <r>
    <s v="USR_00955"/>
    <s v="A"/>
    <x v="0"/>
    <x v="2"/>
    <x v="0"/>
    <x v="0"/>
    <n v="5"/>
    <n v="0"/>
    <n v="0"/>
  </r>
  <r>
    <s v="USR_00956"/>
    <s v="A"/>
    <x v="0"/>
    <x v="3"/>
    <x v="1"/>
    <x v="1"/>
    <n v="6"/>
    <n v="0"/>
    <n v="0"/>
  </r>
  <r>
    <s v="USR_00957"/>
    <s v="B"/>
    <x v="1"/>
    <x v="1"/>
    <x v="0"/>
    <x v="0"/>
    <n v="3"/>
    <n v="0"/>
    <n v="0"/>
  </r>
  <r>
    <s v="USR_00958"/>
    <s v="A"/>
    <x v="0"/>
    <x v="1"/>
    <x v="0"/>
    <x v="0"/>
    <n v="6"/>
    <n v="0"/>
    <n v="0"/>
  </r>
  <r>
    <s v="USR_00959"/>
    <s v="A"/>
    <x v="0"/>
    <x v="1"/>
    <x v="1"/>
    <x v="1"/>
    <n v="7"/>
    <n v="0"/>
    <n v="0"/>
  </r>
  <r>
    <s v="USR_00960"/>
    <s v="B"/>
    <x v="1"/>
    <x v="1"/>
    <x v="1"/>
    <x v="1"/>
    <n v="5"/>
    <n v="1"/>
    <n v="2795.06"/>
  </r>
  <r>
    <s v="USR_00961"/>
    <s v="A"/>
    <x v="0"/>
    <x v="3"/>
    <x v="0"/>
    <x v="0"/>
    <n v="5"/>
    <n v="0"/>
    <n v="0"/>
  </r>
  <r>
    <s v="USR_00962"/>
    <s v="B"/>
    <x v="1"/>
    <x v="3"/>
    <x v="1"/>
    <x v="1"/>
    <n v="4"/>
    <n v="0"/>
    <n v="0"/>
  </r>
  <r>
    <s v="USR_00963"/>
    <s v="A"/>
    <x v="0"/>
    <x v="1"/>
    <x v="0"/>
    <x v="0"/>
    <n v="12"/>
    <n v="1"/>
    <n v="1845.51"/>
  </r>
  <r>
    <s v="USR_00964"/>
    <s v="A"/>
    <x v="0"/>
    <x v="1"/>
    <x v="1"/>
    <x v="1"/>
    <n v="5"/>
    <n v="0"/>
    <n v="0"/>
  </r>
  <r>
    <s v="USR_00965"/>
    <s v="A"/>
    <x v="0"/>
    <x v="3"/>
    <x v="0"/>
    <x v="0"/>
    <n v="3"/>
    <n v="0"/>
    <n v="0"/>
  </r>
  <r>
    <s v="USR_00966"/>
    <s v="A"/>
    <x v="0"/>
    <x v="1"/>
    <x v="0"/>
    <x v="0"/>
    <n v="7"/>
    <n v="1"/>
    <n v="1640.13"/>
  </r>
  <r>
    <s v="USR_00967"/>
    <s v="B"/>
    <x v="1"/>
    <x v="1"/>
    <x v="1"/>
    <x v="1"/>
    <n v="1"/>
    <n v="0"/>
    <n v="0"/>
  </r>
  <r>
    <s v="USR_00968"/>
    <s v="A"/>
    <x v="0"/>
    <x v="1"/>
    <x v="0"/>
    <x v="0"/>
    <n v="3"/>
    <n v="0"/>
    <n v="0"/>
  </r>
  <r>
    <s v="USR_00969"/>
    <s v="B"/>
    <x v="1"/>
    <x v="0"/>
    <x v="1"/>
    <x v="1"/>
    <n v="12"/>
    <n v="0"/>
    <n v="0"/>
  </r>
  <r>
    <s v="USR_00970"/>
    <s v="B"/>
    <x v="1"/>
    <x v="3"/>
    <x v="0"/>
    <x v="0"/>
    <n v="4"/>
    <n v="0"/>
    <n v="0"/>
  </r>
  <r>
    <s v="USR_00971"/>
    <s v="B"/>
    <x v="1"/>
    <x v="3"/>
    <x v="1"/>
    <x v="1"/>
    <n v="8"/>
    <n v="0"/>
    <n v="0"/>
  </r>
  <r>
    <s v="USR_00972"/>
    <s v="control"/>
    <x v="0"/>
    <x v="0"/>
    <x v="0"/>
    <x v="0"/>
    <n v="7"/>
    <n v="0"/>
    <n v="0"/>
  </r>
  <r>
    <s v="USR_00973"/>
    <s v="B"/>
    <x v="1"/>
    <x v="1"/>
    <x v="1"/>
    <x v="1"/>
    <n v="6"/>
    <n v="1"/>
    <n v="2753.04"/>
  </r>
  <r>
    <s v="USR_00974"/>
    <s v="A"/>
    <x v="0"/>
    <x v="1"/>
    <x v="0"/>
    <x v="0"/>
    <n v="8"/>
    <n v="0"/>
    <n v="0"/>
  </r>
  <r>
    <s v="USR_00975"/>
    <s v="A"/>
    <x v="0"/>
    <x v="0"/>
    <x v="0"/>
    <x v="0"/>
    <n v="7"/>
    <n v="0"/>
    <n v="0"/>
  </r>
  <r>
    <s v="USR_00976"/>
    <s v="A"/>
    <x v="0"/>
    <x v="0"/>
    <x v="1"/>
    <x v="1"/>
    <n v="5"/>
    <n v="0"/>
    <n v="0"/>
  </r>
  <r>
    <s v="USR_00977"/>
    <s v="B"/>
    <x v="1"/>
    <x v="2"/>
    <x v="0"/>
    <x v="0"/>
    <n v="5"/>
    <n v="0"/>
    <n v="0"/>
  </r>
  <r>
    <s v="USR_00978"/>
    <s v="A"/>
    <x v="0"/>
    <x v="1"/>
    <x v="0"/>
    <x v="0"/>
    <n v="4"/>
    <n v="0"/>
    <n v="0"/>
  </r>
  <r>
    <s v="USR_00979"/>
    <s v="B"/>
    <x v="1"/>
    <x v="1"/>
    <x v="1"/>
    <x v="1"/>
    <n v="7"/>
    <n v="0"/>
    <n v="0"/>
  </r>
  <r>
    <s v="USR_00980"/>
    <s v="B"/>
    <x v="1"/>
    <x v="3"/>
    <x v="1"/>
    <x v="1"/>
    <n v="3"/>
    <n v="0"/>
    <n v="0"/>
  </r>
  <r>
    <s v="USR_00981"/>
    <s v="A"/>
    <x v="0"/>
    <x v="3"/>
    <x v="1"/>
    <x v="1"/>
    <n v="6"/>
    <n v="0"/>
    <n v="0"/>
  </r>
  <r>
    <s v="USR_00982"/>
    <s v="B"/>
    <x v="1"/>
    <x v="1"/>
    <x v="0"/>
    <x v="0"/>
    <n v="3"/>
    <n v="0"/>
    <n v="0"/>
  </r>
  <r>
    <s v="USR_00983"/>
    <s v="A"/>
    <x v="0"/>
    <x v="3"/>
    <x v="1"/>
    <x v="1"/>
    <n v="6"/>
    <n v="0"/>
    <n v="0"/>
  </r>
  <r>
    <s v="USR_00984"/>
    <s v="A"/>
    <x v="0"/>
    <x v="2"/>
    <x v="0"/>
    <x v="0"/>
    <n v="6"/>
    <n v="0"/>
    <n v="0"/>
  </r>
  <r>
    <s v="USR_00985"/>
    <s v="B"/>
    <x v="1"/>
    <x v="1"/>
    <x v="0"/>
    <x v="0"/>
    <n v="4"/>
    <n v="1"/>
    <n v="2639.54"/>
  </r>
  <r>
    <s v="USR_00986"/>
    <s v="B"/>
    <x v="1"/>
    <x v="1"/>
    <x v="0"/>
    <x v="0"/>
    <n v="4"/>
    <n v="1"/>
    <n v="1764"/>
  </r>
  <r>
    <s v="USR_00987"/>
    <s v="B"/>
    <x v="1"/>
    <x v="3"/>
    <x v="1"/>
    <x v="1"/>
    <n v="13"/>
    <n v="0"/>
    <n v="0"/>
  </r>
  <r>
    <s v="USR_00988"/>
    <s v="A"/>
    <x v="0"/>
    <x v="3"/>
    <x v="1"/>
    <x v="1"/>
    <n v="9"/>
    <n v="1"/>
    <n v="1375.44"/>
  </r>
  <r>
    <s v="USR_00989"/>
    <s v="A"/>
    <x v="0"/>
    <x v="3"/>
    <x v="1"/>
    <x v="1"/>
    <n v="9"/>
    <n v="0"/>
    <n v="0"/>
  </r>
  <r>
    <s v="USR_00990"/>
    <s v="B"/>
    <x v="1"/>
    <x v="1"/>
    <x v="0"/>
    <x v="0"/>
    <n v="2"/>
    <n v="0"/>
    <n v="0"/>
  </r>
  <r>
    <s v="USR_00991"/>
    <s v="B"/>
    <x v="1"/>
    <x v="3"/>
    <x v="0"/>
    <x v="0"/>
    <n v="6"/>
    <n v="0"/>
    <n v="0"/>
  </r>
  <r>
    <s v="USR_00992"/>
    <s v="B"/>
    <x v="1"/>
    <x v="1"/>
    <x v="1"/>
    <x v="1"/>
    <n v="2"/>
    <n v="1"/>
    <n v="2450.86"/>
  </r>
  <r>
    <s v="USR_00993"/>
    <s v="A"/>
    <x v="0"/>
    <x v="0"/>
    <x v="0"/>
    <x v="0"/>
    <n v="3"/>
    <n v="1"/>
    <n v="5309.33"/>
  </r>
  <r>
    <s v="USR_00994"/>
    <s v="B"/>
    <x v="1"/>
    <x v="0"/>
    <x v="0"/>
    <x v="0"/>
    <n v="10"/>
    <n v="0"/>
    <n v="0"/>
  </r>
  <r>
    <s v="USR_00995"/>
    <s v="A"/>
    <x v="0"/>
    <x v="1"/>
    <x v="0"/>
    <x v="0"/>
    <n v="7"/>
    <n v="0"/>
    <n v="0"/>
  </r>
  <r>
    <s v="USR_00996"/>
    <s v="A"/>
    <x v="0"/>
    <x v="3"/>
    <x v="1"/>
    <x v="1"/>
    <n v="3"/>
    <n v="0"/>
    <n v="0"/>
  </r>
  <r>
    <s v="USR_00997"/>
    <s v="B"/>
    <x v="1"/>
    <x v="0"/>
    <x v="0"/>
    <x v="0"/>
    <n v="7"/>
    <n v="1"/>
    <n v="4676.63"/>
  </r>
  <r>
    <s v="USR_00998"/>
    <s v="A"/>
    <x v="0"/>
    <x v="0"/>
    <x v="1"/>
    <x v="1"/>
    <n v="6"/>
    <n v="0"/>
    <n v="0"/>
  </r>
  <r>
    <s v="USR_00999"/>
    <s v="control"/>
    <x v="0"/>
    <x v="3"/>
    <x v="0"/>
    <x v="0"/>
    <n v="9"/>
    <n v="0"/>
    <n v="0"/>
  </r>
  <r>
    <s v="USR_01000"/>
    <s v="A"/>
    <x v="0"/>
    <x v="1"/>
    <x v="0"/>
    <x v="0"/>
    <n v="7"/>
    <n v="0"/>
    <n v="0"/>
  </r>
  <r>
    <s v="USR_01001"/>
    <s v="A"/>
    <x v="0"/>
    <x v="3"/>
    <x v="1"/>
    <x v="1"/>
    <n v="5"/>
    <n v="0"/>
    <n v="0"/>
  </r>
  <r>
    <s v="USR_01002"/>
    <s v="B"/>
    <x v="1"/>
    <x v="0"/>
    <x v="0"/>
    <x v="0"/>
    <n v="9"/>
    <n v="0"/>
    <n v="0"/>
  </r>
  <r>
    <s v="USR_01003"/>
    <s v="B"/>
    <x v="1"/>
    <x v="2"/>
    <x v="0"/>
    <x v="0"/>
    <n v="3"/>
    <n v="0"/>
    <n v="0"/>
  </r>
  <r>
    <s v="USR_01004"/>
    <s v="B"/>
    <x v="1"/>
    <x v="3"/>
    <x v="1"/>
    <x v="1"/>
    <n v="3"/>
    <n v="0"/>
    <n v="0"/>
  </r>
  <r>
    <s v="USR_01005"/>
    <s v="B"/>
    <x v="1"/>
    <x v="0"/>
    <x v="0"/>
    <x v="0"/>
    <n v="6"/>
    <n v="1"/>
    <n v="3750"/>
  </r>
  <r>
    <s v="USR_01006"/>
    <s v="B"/>
    <x v="1"/>
    <x v="1"/>
    <x v="1"/>
    <x v="1"/>
    <n v="8"/>
    <n v="1"/>
    <n v="1938.23"/>
  </r>
  <r>
    <s v="USR_01007"/>
    <s v="B"/>
    <x v="1"/>
    <x v="2"/>
    <x v="0"/>
    <x v="0"/>
    <n v="5"/>
    <n v="1"/>
    <n v="1175.75"/>
  </r>
  <r>
    <s v="USR_01008"/>
    <s v="B"/>
    <x v="1"/>
    <x v="1"/>
    <x v="0"/>
    <x v="0"/>
    <n v="6"/>
    <n v="1"/>
    <n v="1914.96"/>
  </r>
  <r>
    <s v="USR_01009"/>
    <s v="A"/>
    <x v="0"/>
    <x v="0"/>
    <x v="1"/>
    <x v="1"/>
    <n v="9"/>
    <n v="0"/>
    <n v="0"/>
  </r>
  <r>
    <s v="USR_01010"/>
    <s v="B"/>
    <x v="1"/>
    <x v="3"/>
    <x v="0"/>
    <x v="0"/>
    <n v="6"/>
    <n v="0"/>
    <n v="0"/>
  </r>
  <r>
    <s v="USR_01011"/>
    <s v="A"/>
    <x v="0"/>
    <x v="3"/>
    <x v="1"/>
    <x v="1"/>
    <n v="6"/>
    <n v="0"/>
    <n v="0"/>
  </r>
  <r>
    <s v="USR_01012"/>
    <s v="variant_b"/>
    <x v="1"/>
    <x v="3"/>
    <x v="1"/>
    <x v="1"/>
    <n v="5"/>
    <n v="0"/>
    <n v="0"/>
  </r>
  <r>
    <s v="USR_01013"/>
    <s v="control"/>
    <x v="0"/>
    <x v="2"/>
    <x v="2"/>
    <x v="2"/>
    <n v="8"/>
    <n v="0"/>
    <n v="0"/>
  </r>
  <r>
    <s v="USR_01014"/>
    <s v="A"/>
    <x v="0"/>
    <x v="0"/>
    <x v="0"/>
    <x v="0"/>
    <n v="5"/>
    <n v="0"/>
    <n v="0"/>
  </r>
  <r>
    <s v="USR_01015"/>
    <s v="B"/>
    <x v="1"/>
    <x v="0"/>
    <x v="0"/>
    <x v="0"/>
    <n v="4"/>
    <n v="1"/>
    <n v="5427.56"/>
  </r>
  <r>
    <s v="USR_01016"/>
    <s v="control"/>
    <x v="0"/>
    <x v="2"/>
    <x v="1"/>
    <x v="1"/>
    <n v="10"/>
    <n v="0"/>
    <n v="0"/>
  </r>
  <r>
    <s v="USR_01017"/>
    <s v="A"/>
    <x v="0"/>
    <x v="3"/>
    <x v="0"/>
    <x v="0"/>
    <n v="4"/>
    <n v="0"/>
    <n v="0"/>
  </r>
  <r>
    <s v="USR_01018"/>
    <s v="B"/>
    <x v="1"/>
    <x v="3"/>
    <x v="1"/>
    <x v="1"/>
    <n v="7"/>
    <n v="0"/>
    <n v="0"/>
  </r>
  <r>
    <s v="USR_01019"/>
    <s v="B"/>
    <x v="1"/>
    <x v="3"/>
    <x v="1"/>
    <x v="1"/>
    <n v="11"/>
    <n v="0"/>
    <n v="0"/>
  </r>
  <r>
    <s v="USR_01020"/>
    <s v="A"/>
    <x v="0"/>
    <x v="3"/>
    <x v="0"/>
    <x v="0"/>
    <n v="8"/>
    <n v="0"/>
    <n v="0"/>
  </r>
  <r>
    <s v="USR_01021"/>
    <s v="B"/>
    <x v="1"/>
    <x v="3"/>
    <x v="0"/>
    <x v="0"/>
    <n v="10"/>
    <n v="1"/>
    <n v="1879.49"/>
  </r>
  <r>
    <s v="USR_01022"/>
    <s v="A"/>
    <x v="0"/>
    <x v="1"/>
    <x v="0"/>
    <x v="0"/>
    <n v="7"/>
    <n v="0"/>
    <n v="0"/>
  </r>
  <r>
    <s v="USR_01023"/>
    <s v="control"/>
    <x v="0"/>
    <x v="3"/>
    <x v="0"/>
    <x v="0"/>
    <n v="7"/>
    <n v="1"/>
    <n v="1321.55"/>
  </r>
  <r>
    <s v="USR_01024"/>
    <s v="variant_b"/>
    <x v="1"/>
    <x v="3"/>
    <x v="0"/>
    <x v="0"/>
    <n v="12"/>
    <n v="0"/>
    <n v="0"/>
  </r>
  <r>
    <s v="USR_01025"/>
    <s v="control"/>
    <x v="0"/>
    <x v="3"/>
    <x v="0"/>
    <x v="0"/>
    <n v="11"/>
    <n v="0"/>
    <n v="0"/>
  </r>
  <r>
    <s v="USR_01026"/>
    <s v="B"/>
    <x v="1"/>
    <x v="3"/>
    <x v="0"/>
    <x v="0"/>
    <n v="5"/>
    <n v="0"/>
    <n v="0"/>
  </r>
  <r>
    <s v="USR_01027"/>
    <s v="B"/>
    <x v="1"/>
    <x v="2"/>
    <x v="0"/>
    <x v="0"/>
    <n v="6"/>
    <n v="0"/>
    <n v="0"/>
  </r>
  <r>
    <s v="USR_01028"/>
    <s v="B"/>
    <x v="1"/>
    <x v="1"/>
    <x v="0"/>
    <x v="0"/>
    <n v="5"/>
    <n v="0"/>
    <n v="0"/>
  </r>
  <r>
    <s v="USR_01029"/>
    <s v="A"/>
    <x v="0"/>
    <x v="2"/>
    <x v="1"/>
    <x v="1"/>
    <n v="7"/>
    <n v="0"/>
    <n v="0"/>
  </r>
  <r>
    <s v="USR_01030"/>
    <s v="B"/>
    <x v="1"/>
    <x v="1"/>
    <x v="0"/>
    <x v="0"/>
    <n v="6"/>
    <n v="0"/>
    <n v="0"/>
  </r>
  <r>
    <s v="USR_01031"/>
    <s v="A"/>
    <x v="0"/>
    <x v="3"/>
    <x v="1"/>
    <x v="1"/>
    <n v="4"/>
    <n v="0"/>
    <n v="0"/>
  </r>
  <r>
    <s v="USR_01032"/>
    <s v="B"/>
    <x v="1"/>
    <x v="0"/>
    <x v="0"/>
    <x v="0"/>
    <n v="7"/>
    <n v="0"/>
    <n v="0"/>
  </r>
  <r>
    <s v="USR_01033"/>
    <s v="A"/>
    <x v="0"/>
    <x v="3"/>
    <x v="1"/>
    <x v="1"/>
    <n v="4"/>
    <n v="0"/>
    <n v="0"/>
  </r>
  <r>
    <s v="USR_01034"/>
    <s v="A"/>
    <x v="0"/>
    <x v="3"/>
    <x v="0"/>
    <x v="0"/>
    <n v="6"/>
    <n v="0"/>
    <n v="0"/>
  </r>
  <r>
    <s v="USR_01035"/>
    <s v="A"/>
    <x v="0"/>
    <x v="3"/>
    <x v="1"/>
    <x v="1"/>
    <n v="9"/>
    <n v="0"/>
    <n v="0"/>
  </r>
  <r>
    <s v="USR_01036"/>
    <s v="B"/>
    <x v="1"/>
    <x v="3"/>
    <x v="0"/>
    <x v="0"/>
    <n v="3"/>
    <n v="1"/>
    <n v="1749.02"/>
  </r>
  <r>
    <s v="USR_01037"/>
    <s v="A"/>
    <x v="0"/>
    <x v="3"/>
    <x v="1"/>
    <x v="1"/>
    <n v="8"/>
    <n v="0"/>
    <n v="0"/>
  </r>
  <r>
    <s v="USR_01038"/>
    <s v="B"/>
    <x v="1"/>
    <x v="3"/>
    <x v="0"/>
    <x v="0"/>
    <n v="6"/>
    <n v="0"/>
    <n v="0"/>
  </r>
  <r>
    <s v="USR_01039"/>
    <s v="A"/>
    <x v="0"/>
    <x v="1"/>
    <x v="0"/>
    <x v="0"/>
    <n v="7"/>
    <n v="0"/>
    <n v="0"/>
  </r>
  <r>
    <s v="USR_01040"/>
    <s v="A"/>
    <x v="0"/>
    <x v="3"/>
    <x v="0"/>
    <x v="0"/>
    <n v="5"/>
    <n v="0"/>
    <n v="0"/>
  </r>
  <r>
    <s v="USR_01041"/>
    <s v="B"/>
    <x v="1"/>
    <x v="3"/>
    <x v="1"/>
    <x v="1"/>
    <n v="6"/>
    <n v="0"/>
    <n v="0"/>
  </r>
  <r>
    <s v="USR_01042"/>
    <s v="B"/>
    <x v="1"/>
    <x v="0"/>
    <x v="0"/>
    <x v="0"/>
    <n v="4"/>
    <n v="0"/>
    <n v="0"/>
  </r>
  <r>
    <s v="USR_01043"/>
    <s v="A"/>
    <x v="0"/>
    <x v="3"/>
    <x v="0"/>
    <x v="0"/>
    <n v="10"/>
    <n v="1"/>
    <n v="1372.1"/>
  </r>
  <r>
    <s v="USR_01044"/>
    <s v="B"/>
    <x v="1"/>
    <x v="3"/>
    <x v="0"/>
    <x v="0"/>
    <n v="8"/>
    <n v="0"/>
    <n v="0"/>
  </r>
  <r>
    <s v="USR_01045"/>
    <s v="B"/>
    <x v="1"/>
    <x v="0"/>
    <x v="1"/>
    <x v="1"/>
    <n v="6"/>
    <n v="0"/>
    <n v="0"/>
  </r>
  <r>
    <s v="USR_01046"/>
    <s v="B"/>
    <x v="1"/>
    <x v="3"/>
    <x v="1"/>
    <x v="1"/>
    <n v="8"/>
    <n v="0"/>
    <n v="0"/>
  </r>
  <r>
    <s v="USR_01047"/>
    <s v="A"/>
    <x v="0"/>
    <x v="3"/>
    <x v="0"/>
    <x v="0"/>
    <n v="4"/>
    <n v="0"/>
    <n v="0"/>
  </r>
  <r>
    <s v="USR_01048"/>
    <s v="A"/>
    <x v="0"/>
    <x v="1"/>
    <x v="0"/>
    <x v="0"/>
    <n v="2"/>
    <n v="0"/>
    <n v="0"/>
  </r>
  <r>
    <s v="USR_01049"/>
    <s v="B"/>
    <x v="1"/>
    <x v="3"/>
    <x v="1"/>
    <x v="1"/>
    <n v="4"/>
    <n v="0"/>
    <n v="0"/>
  </r>
  <r>
    <s v="USR_01050"/>
    <s v="A"/>
    <x v="0"/>
    <x v="1"/>
    <x v="1"/>
    <x v="1"/>
    <n v="11"/>
    <n v="0"/>
    <n v="0"/>
  </r>
  <r>
    <s v="USR_01051"/>
    <s v="B"/>
    <x v="1"/>
    <x v="0"/>
    <x v="0"/>
    <x v="0"/>
    <n v="6"/>
    <n v="0"/>
    <n v="0"/>
  </r>
  <r>
    <s v="USR_01052"/>
    <s v="B"/>
    <x v="1"/>
    <x v="3"/>
    <x v="1"/>
    <x v="1"/>
    <n v="10"/>
    <n v="0"/>
    <n v="0"/>
  </r>
  <r>
    <s v="USR_01053"/>
    <s v="control"/>
    <x v="0"/>
    <x v="1"/>
    <x v="1"/>
    <x v="1"/>
    <n v="8"/>
    <n v="0"/>
    <n v="0"/>
  </r>
  <r>
    <s v="USR_01054"/>
    <s v="B"/>
    <x v="1"/>
    <x v="1"/>
    <x v="0"/>
    <x v="0"/>
    <n v="5"/>
    <n v="0"/>
    <n v="0"/>
  </r>
  <r>
    <s v="USR_01055"/>
    <s v="variant_b"/>
    <x v="1"/>
    <x v="3"/>
    <x v="0"/>
    <x v="0"/>
    <n v="6"/>
    <n v="0"/>
    <n v="0"/>
  </r>
  <r>
    <s v="USR_01056"/>
    <s v="A"/>
    <x v="0"/>
    <x v="1"/>
    <x v="0"/>
    <x v="0"/>
    <n v="4"/>
    <n v="1"/>
    <n v="2213.87"/>
  </r>
  <r>
    <s v="USR_01057"/>
    <s v="B"/>
    <x v="1"/>
    <x v="3"/>
    <x v="0"/>
    <x v="0"/>
    <n v="8"/>
    <n v="0"/>
    <n v="0"/>
  </r>
  <r>
    <s v="USR_01058"/>
    <s v="A"/>
    <x v="0"/>
    <x v="1"/>
    <x v="0"/>
    <x v="0"/>
    <n v="3"/>
    <n v="0"/>
    <n v="0"/>
  </r>
  <r>
    <s v="USR_01059"/>
    <s v="B"/>
    <x v="1"/>
    <x v="3"/>
    <x v="0"/>
    <x v="0"/>
    <n v="1"/>
    <n v="0"/>
    <n v="0"/>
  </r>
  <r>
    <s v="USR_01060"/>
    <s v="B"/>
    <x v="1"/>
    <x v="1"/>
    <x v="0"/>
    <x v="0"/>
    <n v="3"/>
    <n v="0"/>
    <n v="0"/>
  </r>
  <r>
    <s v="USR_01061"/>
    <s v="B"/>
    <x v="1"/>
    <x v="3"/>
    <x v="0"/>
    <x v="0"/>
    <n v="5"/>
    <n v="0"/>
    <n v="0"/>
  </r>
  <r>
    <s v="USR_01062"/>
    <s v="variant_b"/>
    <x v="1"/>
    <x v="0"/>
    <x v="0"/>
    <x v="0"/>
    <n v="5"/>
    <n v="0"/>
    <n v="0"/>
  </r>
  <r>
    <s v="USR_01063"/>
    <s v="B"/>
    <x v="1"/>
    <x v="3"/>
    <x v="0"/>
    <x v="0"/>
    <n v="9"/>
    <n v="1"/>
    <n v="1761.95"/>
  </r>
  <r>
    <s v="USR_01064"/>
    <s v="A"/>
    <x v="0"/>
    <x v="3"/>
    <x v="1"/>
    <x v="1"/>
    <n v="5"/>
    <n v="0"/>
    <n v="0"/>
  </r>
  <r>
    <s v="USR_01065"/>
    <s v="A"/>
    <x v="0"/>
    <x v="1"/>
    <x v="0"/>
    <x v="0"/>
    <n v="7"/>
    <n v="0"/>
    <n v="0"/>
  </r>
  <r>
    <s v="USR_01066"/>
    <s v="B"/>
    <x v="1"/>
    <x v="1"/>
    <x v="1"/>
    <x v="1"/>
    <n v="5"/>
    <n v="0"/>
    <n v="0"/>
  </r>
  <r>
    <s v="USR_01067"/>
    <s v="A"/>
    <x v="0"/>
    <x v="1"/>
    <x v="0"/>
    <x v="0"/>
    <n v="5"/>
    <n v="1"/>
    <n v="2585.87"/>
  </r>
  <r>
    <s v="USR_01068"/>
    <s v="A"/>
    <x v="0"/>
    <x v="1"/>
    <x v="0"/>
    <x v="0"/>
    <n v="9"/>
    <n v="0"/>
    <n v="0"/>
  </r>
  <r>
    <s v="USR_01069"/>
    <s v="A"/>
    <x v="0"/>
    <x v="0"/>
    <x v="0"/>
    <x v="0"/>
    <n v="7"/>
    <n v="0"/>
    <n v="0"/>
  </r>
  <r>
    <s v="USR_01070"/>
    <s v="A"/>
    <x v="0"/>
    <x v="0"/>
    <x v="0"/>
    <x v="0"/>
    <n v="5"/>
    <n v="0"/>
    <n v="0"/>
  </r>
  <r>
    <s v="USR_01071"/>
    <s v="A"/>
    <x v="0"/>
    <x v="3"/>
    <x v="1"/>
    <x v="1"/>
    <n v="8"/>
    <n v="1"/>
    <n v="1329.5"/>
  </r>
  <r>
    <s v="USR_01072"/>
    <s v="A"/>
    <x v="0"/>
    <x v="1"/>
    <x v="0"/>
    <x v="0"/>
    <n v="12"/>
    <n v="1"/>
    <n v="2314.91"/>
  </r>
  <r>
    <s v="USR_01073"/>
    <s v="A"/>
    <x v="0"/>
    <x v="0"/>
    <x v="0"/>
    <x v="0"/>
    <n v="5"/>
    <n v="0"/>
    <n v="0"/>
  </r>
  <r>
    <s v="USR_01074"/>
    <s v="A"/>
    <x v="0"/>
    <x v="2"/>
    <x v="0"/>
    <x v="0"/>
    <n v="3"/>
    <n v="0"/>
    <n v="0"/>
  </r>
  <r>
    <s v="USR_01075"/>
    <s v="variant_b"/>
    <x v="1"/>
    <x v="0"/>
    <x v="0"/>
    <x v="0"/>
    <n v="4"/>
    <n v="1"/>
    <n v="5470.07"/>
  </r>
  <r>
    <s v="USR_01076"/>
    <s v="A"/>
    <x v="0"/>
    <x v="3"/>
    <x v="0"/>
    <x v="0"/>
    <n v="10"/>
    <n v="0"/>
    <n v="0"/>
  </r>
  <r>
    <s v="USR_01077"/>
    <s v="A"/>
    <x v="0"/>
    <x v="3"/>
    <x v="0"/>
    <x v="0"/>
    <n v="6"/>
    <n v="0"/>
    <n v="0"/>
  </r>
  <r>
    <s v="USR_01078"/>
    <s v="B"/>
    <x v="1"/>
    <x v="1"/>
    <x v="1"/>
    <x v="1"/>
    <n v="7"/>
    <n v="0"/>
    <n v="0"/>
  </r>
  <r>
    <s v="USR_01079"/>
    <s v="A"/>
    <x v="0"/>
    <x v="1"/>
    <x v="1"/>
    <x v="1"/>
    <n v="4"/>
    <n v="0"/>
    <n v="0"/>
  </r>
  <r>
    <s v="USR_01080"/>
    <s v="control"/>
    <x v="0"/>
    <x v="1"/>
    <x v="0"/>
    <x v="0"/>
    <n v="8"/>
    <n v="0"/>
    <n v="0"/>
  </r>
  <r>
    <s v="USR_01081"/>
    <s v="B"/>
    <x v="1"/>
    <x v="1"/>
    <x v="0"/>
    <x v="0"/>
    <n v="5"/>
    <n v="0"/>
    <n v="0"/>
  </r>
  <r>
    <s v="USR_01082"/>
    <s v="A"/>
    <x v="0"/>
    <x v="0"/>
    <x v="1"/>
    <x v="1"/>
    <n v="2"/>
    <n v="0"/>
    <n v="0"/>
  </r>
  <r>
    <s v="USR_01083"/>
    <s v="A"/>
    <x v="0"/>
    <x v="3"/>
    <x v="0"/>
    <x v="0"/>
    <n v="3"/>
    <n v="1"/>
    <n v="1244.92"/>
  </r>
  <r>
    <s v="USR_01084"/>
    <s v="B"/>
    <x v="1"/>
    <x v="0"/>
    <x v="0"/>
    <x v="0"/>
    <n v="3"/>
    <n v="0"/>
    <n v="0"/>
  </r>
  <r>
    <s v="USR_01085"/>
    <s v="control"/>
    <x v="0"/>
    <x v="3"/>
    <x v="0"/>
    <x v="0"/>
    <n v="6"/>
    <n v="0"/>
    <n v="0"/>
  </r>
  <r>
    <s v="USR_01086"/>
    <s v="B"/>
    <x v="1"/>
    <x v="3"/>
    <x v="0"/>
    <x v="0"/>
    <n v="2"/>
    <n v="0"/>
    <n v="0"/>
  </r>
  <r>
    <s v="USR_01087"/>
    <s v="B"/>
    <x v="1"/>
    <x v="1"/>
    <x v="1"/>
    <x v="1"/>
    <n v="5"/>
    <n v="0"/>
    <n v="0"/>
  </r>
  <r>
    <s v="USR_01088"/>
    <s v="A"/>
    <x v="0"/>
    <x v="1"/>
    <x v="0"/>
    <x v="0"/>
    <n v="4"/>
    <n v="1"/>
    <n v="2063.8000000000002"/>
  </r>
  <r>
    <s v="USR_01089"/>
    <s v="variant_b"/>
    <x v="1"/>
    <x v="3"/>
    <x v="1"/>
    <x v="1"/>
    <n v="6"/>
    <n v="1"/>
    <n v="913.97"/>
  </r>
  <r>
    <s v="USR_01090"/>
    <s v="A"/>
    <x v="0"/>
    <x v="3"/>
    <x v="0"/>
    <x v="0"/>
    <n v="4"/>
    <n v="0"/>
    <n v="0"/>
  </r>
  <r>
    <s v="USR_01091"/>
    <s v="control"/>
    <x v="0"/>
    <x v="2"/>
    <x v="0"/>
    <x v="0"/>
    <n v="5"/>
    <n v="0"/>
    <n v="0"/>
  </r>
  <r>
    <s v="USR_01092"/>
    <s v="B"/>
    <x v="1"/>
    <x v="3"/>
    <x v="1"/>
    <x v="1"/>
    <n v="5"/>
    <n v="1"/>
    <n v="1156.7"/>
  </r>
  <r>
    <s v="USR_01093"/>
    <s v="B"/>
    <x v="1"/>
    <x v="1"/>
    <x v="0"/>
    <x v="0"/>
    <n v="6"/>
    <n v="0"/>
    <n v="0"/>
  </r>
  <r>
    <s v="USR_01094"/>
    <s v="B"/>
    <x v="1"/>
    <x v="1"/>
    <x v="1"/>
    <x v="1"/>
    <n v="3"/>
    <n v="1"/>
    <n v="2734.94"/>
  </r>
  <r>
    <s v="USR_01095"/>
    <s v="A"/>
    <x v="0"/>
    <x v="1"/>
    <x v="0"/>
    <x v="0"/>
    <n v="8"/>
    <n v="0"/>
    <n v="0"/>
  </r>
  <r>
    <s v="USR_01096"/>
    <s v="A"/>
    <x v="0"/>
    <x v="1"/>
    <x v="1"/>
    <x v="1"/>
    <n v="2"/>
    <n v="0"/>
    <n v="0"/>
  </r>
  <r>
    <s v="USR_01097"/>
    <s v="A"/>
    <x v="0"/>
    <x v="3"/>
    <x v="0"/>
    <x v="0"/>
    <n v="12"/>
    <n v="1"/>
    <n v="1207.92"/>
  </r>
  <r>
    <s v="USR_01098"/>
    <s v="A"/>
    <x v="0"/>
    <x v="1"/>
    <x v="0"/>
    <x v="0"/>
    <n v="8"/>
    <n v="0"/>
    <n v="0"/>
  </r>
  <r>
    <s v="USR_01099"/>
    <s v="B"/>
    <x v="1"/>
    <x v="3"/>
    <x v="0"/>
    <x v="0"/>
    <n v="6"/>
    <n v="0"/>
    <n v="0"/>
  </r>
  <r>
    <s v="USR_01100"/>
    <s v="A"/>
    <x v="0"/>
    <x v="1"/>
    <x v="0"/>
    <x v="0"/>
    <n v="4"/>
    <n v="0"/>
    <n v="0"/>
  </r>
  <r>
    <s v="USR_01101"/>
    <s v="A"/>
    <x v="0"/>
    <x v="3"/>
    <x v="0"/>
    <x v="0"/>
    <n v="6"/>
    <n v="1"/>
    <n v="1492"/>
  </r>
  <r>
    <s v="USR_01102"/>
    <s v="variant_b"/>
    <x v="1"/>
    <x v="1"/>
    <x v="1"/>
    <x v="1"/>
    <n v="3"/>
    <n v="0"/>
    <n v="0"/>
  </r>
  <r>
    <s v="USR_01103"/>
    <s v="B"/>
    <x v="1"/>
    <x v="3"/>
    <x v="0"/>
    <x v="0"/>
    <n v="4"/>
    <n v="0"/>
    <n v="0"/>
  </r>
  <r>
    <s v="USR_01104"/>
    <s v="control"/>
    <x v="0"/>
    <x v="3"/>
    <x v="1"/>
    <x v="1"/>
    <n v="5"/>
    <n v="0"/>
    <n v="0"/>
  </r>
  <r>
    <s v="USR_01105"/>
    <s v="variant_b"/>
    <x v="1"/>
    <x v="3"/>
    <x v="0"/>
    <x v="0"/>
    <n v="6"/>
    <n v="0"/>
    <n v="0"/>
  </r>
  <r>
    <s v="USR_01106"/>
    <s v="A"/>
    <x v="0"/>
    <x v="3"/>
    <x v="0"/>
    <x v="0"/>
    <n v="8"/>
    <n v="0"/>
    <n v="0"/>
  </r>
  <r>
    <s v="USR_01107"/>
    <s v="A"/>
    <x v="0"/>
    <x v="0"/>
    <x v="0"/>
    <x v="0"/>
    <n v="4"/>
    <n v="0"/>
    <n v="0"/>
  </r>
  <r>
    <s v="USR_01108"/>
    <s v="B"/>
    <x v="1"/>
    <x v="3"/>
    <x v="0"/>
    <x v="0"/>
    <n v="5"/>
    <n v="0"/>
    <n v="0"/>
  </r>
  <r>
    <s v="USR_01109"/>
    <s v="B"/>
    <x v="1"/>
    <x v="2"/>
    <x v="0"/>
    <x v="0"/>
    <n v="5"/>
    <n v="1"/>
    <n v="1107.8900000000001"/>
  </r>
  <r>
    <s v="USR_01110"/>
    <s v="A"/>
    <x v="0"/>
    <x v="2"/>
    <x v="1"/>
    <x v="1"/>
    <n v="7"/>
    <n v="0"/>
    <n v="0"/>
  </r>
  <r>
    <s v="USR_01111"/>
    <s v="B"/>
    <x v="1"/>
    <x v="1"/>
    <x v="2"/>
    <x v="2"/>
    <n v="5"/>
    <n v="1"/>
    <n v="3086.84"/>
  </r>
  <r>
    <s v="USR_01112"/>
    <s v="A"/>
    <x v="0"/>
    <x v="3"/>
    <x v="0"/>
    <x v="0"/>
    <n v="7"/>
    <n v="1"/>
    <n v="1843.03"/>
  </r>
  <r>
    <s v="USR_01113"/>
    <s v="A"/>
    <x v="0"/>
    <x v="3"/>
    <x v="1"/>
    <x v="1"/>
    <n v="4"/>
    <n v="0"/>
    <n v="0"/>
  </r>
  <r>
    <s v="USR_01114"/>
    <s v="B"/>
    <x v="1"/>
    <x v="0"/>
    <x v="1"/>
    <x v="1"/>
    <n v="12"/>
    <n v="0"/>
    <n v="0"/>
  </r>
  <r>
    <s v="USR_01115"/>
    <s v="B"/>
    <x v="1"/>
    <x v="3"/>
    <x v="0"/>
    <x v="0"/>
    <n v="3"/>
    <n v="0"/>
    <n v="0"/>
  </r>
  <r>
    <s v="USR_01116"/>
    <s v="B"/>
    <x v="1"/>
    <x v="3"/>
    <x v="1"/>
    <x v="1"/>
    <n v="1"/>
    <n v="0"/>
    <n v="0"/>
  </r>
  <r>
    <s v="USR_01117"/>
    <s v="A"/>
    <x v="0"/>
    <x v="1"/>
    <x v="1"/>
    <x v="1"/>
    <n v="10"/>
    <n v="0"/>
    <n v="0"/>
  </r>
  <r>
    <s v="USR_01118"/>
    <s v="B"/>
    <x v="1"/>
    <x v="0"/>
    <x v="2"/>
    <x v="2"/>
    <n v="14"/>
    <n v="0"/>
    <n v="0"/>
  </r>
  <r>
    <s v="USR_01119"/>
    <s v="A"/>
    <x v="0"/>
    <x v="0"/>
    <x v="0"/>
    <x v="0"/>
    <n v="6"/>
    <n v="0"/>
    <n v="0"/>
  </r>
  <r>
    <s v="USR_01120"/>
    <s v="A"/>
    <x v="0"/>
    <x v="3"/>
    <x v="1"/>
    <x v="1"/>
    <n v="5"/>
    <n v="0"/>
    <n v="0"/>
  </r>
  <r>
    <s v="USR_01121"/>
    <s v="B"/>
    <x v="1"/>
    <x v="1"/>
    <x v="0"/>
    <x v="0"/>
    <n v="3"/>
    <n v="0"/>
    <n v="0"/>
  </r>
  <r>
    <s v="USR_01122"/>
    <s v="control"/>
    <x v="0"/>
    <x v="3"/>
    <x v="0"/>
    <x v="0"/>
    <n v="3"/>
    <n v="0"/>
    <n v="0"/>
  </r>
  <r>
    <s v="USR_01123"/>
    <s v="B"/>
    <x v="1"/>
    <x v="3"/>
    <x v="0"/>
    <x v="0"/>
    <n v="7"/>
    <n v="0"/>
    <n v="0"/>
  </r>
  <r>
    <s v="USR_01124"/>
    <s v="B"/>
    <x v="1"/>
    <x v="0"/>
    <x v="2"/>
    <x v="2"/>
    <n v="6"/>
    <n v="0"/>
    <n v="0"/>
  </r>
  <r>
    <s v="USR_01125"/>
    <s v="B"/>
    <x v="1"/>
    <x v="3"/>
    <x v="1"/>
    <x v="1"/>
    <n v="5"/>
    <n v="0"/>
    <n v="0"/>
  </r>
  <r>
    <s v="USR_01126"/>
    <s v="B"/>
    <x v="1"/>
    <x v="3"/>
    <x v="1"/>
    <x v="1"/>
    <n v="4"/>
    <n v="0"/>
    <n v="0"/>
  </r>
  <r>
    <s v="USR_01127"/>
    <s v="A"/>
    <x v="0"/>
    <x v="3"/>
    <x v="0"/>
    <x v="0"/>
    <n v="6"/>
    <n v="0"/>
    <n v="0"/>
  </r>
  <r>
    <s v="USR_01128"/>
    <s v="A"/>
    <x v="0"/>
    <x v="0"/>
    <x v="0"/>
    <x v="0"/>
    <n v="10"/>
    <n v="1"/>
    <n v="4550.54"/>
  </r>
  <r>
    <s v="USR_01129"/>
    <s v="A"/>
    <x v="0"/>
    <x v="0"/>
    <x v="0"/>
    <x v="0"/>
    <n v="3"/>
    <n v="1"/>
    <n v="6187.35"/>
  </r>
  <r>
    <s v="USR_01130"/>
    <s v="A"/>
    <x v="0"/>
    <x v="1"/>
    <x v="0"/>
    <x v="0"/>
    <n v="2"/>
    <n v="0"/>
    <n v="0"/>
  </r>
  <r>
    <s v="USR_01131"/>
    <s v="B"/>
    <x v="1"/>
    <x v="1"/>
    <x v="0"/>
    <x v="0"/>
    <n v="5"/>
    <n v="0"/>
    <n v="0"/>
  </r>
  <r>
    <s v="USR_01132"/>
    <s v="B"/>
    <x v="1"/>
    <x v="3"/>
    <x v="1"/>
    <x v="1"/>
    <n v="7"/>
    <n v="0"/>
    <n v="0"/>
  </r>
  <r>
    <s v="USR_01133"/>
    <s v="A"/>
    <x v="0"/>
    <x v="1"/>
    <x v="1"/>
    <x v="1"/>
    <n v="7"/>
    <n v="1"/>
    <n v="3145.49"/>
  </r>
  <r>
    <s v="USR_01134"/>
    <s v="A"/>
    <x v="0"/>
    <x v="3"/>
    <x v="0"/>
    <x v="0"/>
    <n v="10"/>
    <n v="1"/>
    <n v="1295.1600000000001"/>
  </r>
  <r>
    <s v="USR_01135"/>
    <s v="B"/>
    <x v="1"/>
    <x v="3"/>
    <x v="0"/>
    <x v="0"/>
    <n v="7"/>
    <n v="0"/>
    <n v="0"/>
  </r>
  <r>
    <s v="USR_01136"/>
    <s v="A"/>
    <x v="0"/>
    <x v="1"/>
    <x v="0"/>
    <x v="0"/>
    <n v="8"/>
    <n v="0"/>
    <n v="0"/>
  </r>
  <r>
    <s v="USR_01137"/>
    <s v="B"/>
    <x v="1"/>
    <x v="2"/>
    <x v="0"/>
    <x v="0"/>
    <n v="8"/>
    <n v="0"/>
    <n v="0"/>
  </r>
  <r>
    <s v="USR_01138"/>
    <s v="B"/>
    <x v="1"/>
    <x v="3"/>
    <x v="1"/>
    <x v="1"/>
    <n v="7"/>
    <n v="0"/>
    <n v="0"/>
  </r>
  <r>
    <s v="USR_01139"/>
    <s v="B"/>
    <x v="1"/>
    <x v="3"/>
    <x v="1"/>
    <x v="1"/>
    <n v="3"/>
    <n v="0"/>
    <n v="0"/>
  </r>
  <r>
    <s v="USR_01140"/>
    <s v="B"/>
    <x v="1"/>
    <x v="3"/>
    <x v="1"/>
    <x v="1"/>
    <n v="7"/>
    <n v="0"/>
    <n v="0"/>
  </r>
  <r>
    <s v="USR_01141"/>
    <s v="B"/>
    <x v="1"/>
    <x v="3"/>
    <x v="0"/>
    <x v="0"/>
    <n v="6"/>
    <n v="0"/>
    <n v="0"/>
  </r>
  <r>
    <s v="USR_01142"/>
    <s v="A"/>
    <x v="0"/>
    <x v="0"/>
    <x v="0"/>
    <x v="0"/>
    <n v="5"/>
    <n v="1"/>
    <n v="4250.33"/>
  </r>
  <r>
    <s v="USR_01143"/>
    <s v="B"/>
    <x v="1"/>
    <x v="1"/>
    <x v="0"/>
    <x v="0"/>
    <n v="9"/>
    <n v="0"/>
    <n v="0"/>
  </r>
  <r>
    <s v="USR_01144"/>
    <s v="B"/>
    <x v="1"/>
    <x v="1"/>
    <x v="0"/>
    <x v="0"/>
    <n v="4"/>
    <n v="0"/>
    <n v="0"/>
  </r>
  <r>
    <s v="USR_01145"/>
    <s v="A"/>
    <x v="0"/>
    <x v="1"/>
    <x v="1"/>
    <x v="1"/>
    <n v="9"/>
    <n v="0"/>
    <n v="0"/>
  </r>
  <r>
    <s v="USR_01146"/>
    <s v="B"/>
    <x v="1"/>
    <x v="3"/>
    <x v="0"/>
    <x v="0"/>
    <n v="5"/>
    <n v="0"/>
    <n v="0"/>
  </r>
  <r>
    <s v="USR_01147"/>
    <s v="B"/>
    <x v="1"/>
    <x v="1"/>
    <x v="0"/>
    <x v="0"/>
    <n v="5"/>
    <n v="1"/>
    <n v="2542.08"/>
  </r>
  <r>
    <s v="USR_01148"/>
    <s v="B"/>
    <x v="1"/>
    <x v="1"/>
    <x v="0"/>
    <x v="0"/>
    <n v="9"/>
    <n v="0"/>
    <n v="0"/>
  </r>
  <r>
    <s v="USR_01149"/>
    <s v="B"/>
    <x v="1"/>
    <x v="1"/>
    <x v="1"/>
    <x v="1"/>
    <n v="7"/>
    <n v="1"/>
    <n v="1311.11"/>
  </r>
  <r>
    <s v="USR_01150"/>
    <s v="B"/>
    <x v="1"/>
    <x v="2"/>
    <x v="1"/>
    <x v="1"/>
    <n v="4"/>
    <n v="0"/>
    <n v="0"/>
  </r>
  <r>
    <s v="USR_01151"/>
    <s v="B"/>
    <x v="1"/>
    <x v="1"/>
    <x v="1"/>
    <x v="1"/>
    <n v="9"/>
    <n v="1"/>
    <n v="2542.17"/>
  </r>
  <r>
    <s v="USR_01152"/>
    <s v="B"/>
    <x v="1"/>
    <x v="3"/>
    <x v="1"/>
    <x v="1"/>
    <n v="6"/>
    <n v="0"/>
    <n v="0"/>
  </r>
  <r>
    <s v="USR_01153"/>
    <s v="B"/>
    <x v="1"/>
    <x v="0"/>
    <x v="0"/>
    <x v="0"/>
    <n v="4"/>
    <n v="0"/>
    <n v="0"/>
  </r>
  <r>
    <s v="USR_01154"/>
    <s v="B"/>
    <x v="1"/>
    <x v="3"/>
    <x v="0"/>
    <x v="0"/>
    <n v="5"/>
    <n v="0"/>
    <n v="0"/>
  </r>
  <r>
    <s v="USR_01155"/>
    <s v="B"/>
    <x v="1"/>
    <x v="3"/>
    <x v="0"/>
    <x v="0"/>
    <n v="4"/>
    <n v="0"/>
    <n v="0"/>
  </r>
  <r>
    <s v="USR_01156"/>
    <s v="B"/>
    <x v="1"/>
    <x v="3"/>
    <x v="0"/>
    <x v="0"/>
    <n v="10"/>
    <n v="0"/>
    <n v="0"/>
  </r>
  <r>
    <s v="USR_01157"/>
    <s v="A"/>
    <x v="0"/>
    <x v="3"/>
    <x v="1"/>
    <x v="1"/>
    <n v="5"/>
    <n v="0"/>
    <n v="0"/>
  </r>
  <r>
    <s v="USR_01158"/>
    <s v="B"/>
    <x v="1"/>
    <x v="1"/>
    <x v="1"/>
    <x v="1"/>
    <n v="7"/>
    <n v="0"/>
    <n v="0"/>
  </r>
  <r>
    <s v="USR_01159"/>
    <s v="B"/>
    <x v="1"/>
    <x v="1"/>
    <x v="0"/>
    <x v="0"/>
    <n v="6"/>
    <n v="0"/>
    <n v="0"/>
  </r>
  <r>
    <s v="USR_01160"/>
    <s v="A"/>
    <x v="0"/>
    <x v="0"/>
    <x v="0"/>
    <x v="0"/>
    <n v="3"/>
    <n v="0"/>
    <n v="0"/>
  </r>
  <r>
    <s v="USR_01161"/>
    <s v="B"/>
    <x v="1"/>
    <x v="1"/>
    <x v="0"/>
    <x v="0"/>
    <n v="6"/>
    <n v="0"/>
    <n v="0"/>
  </r>
  <r>
    <s v="USR_01162"/>
    <s v="A"/>
    <x v="0"/>
    <x v="1"/>
    <x v="0"/>
    <x v="0"/>
    <n v="8"/>
    <n v="0"/>
    <n v="0"/>
  </r>
  <r>
    <s v="USR_01163"/>
    <s v="A"/>
    <x v="0"/>
    <x v="3"/>
    <x v="0"/>
    <x v="0"/>
    <n v="9"/>
    <n v="0"/>
    <n v="0"/>
  </r>
  <r>
    <s v="USR_01164"/>
    <s v="B"/>
    <x v="1"/>
    <x v="3"/>
    <x v="0"/>
    <x v="0"/>
    <n v="13"/>
    <n v="1"/>
    <n v="1280.8499999999999"/>
  </r>
  <r>
    <s v="USR_01165"/>
    <s v="A"/>
    <x v="0"/>
    <x v="1"/>
    <x v="0"/>
    <x v="0"/>
    <n v="5"/>
    <n v="0"/>
    <n v="0"/>
  </r>
  <r>
    <s v="USR_01166"/>
    <s v="B"/>
    <x v="1"/>
    <x v="1"/>
    <x v="0"/>
    <x v="0"/>
    <n v="7"/>
    <n v="0"/>
    <n v="0"/>
  </r>
  <r>
    <s v="USR_01167"/>
    <s v="B"/>
    <x v="1"/>
    <x v="0"/>
    <x v="0"/>
    <x v="0"/>
    <n v="6"/>
    <n v="1"/>
    <n v="5227.4399999999996"/>
  </r>
  <r>
    <s v="USR_01168"/>
    <s v="B"/>
    <x v="1"/>
    <x v="3"/>
    <x v="2"/>
    <x v="2"/>
    <n v="7"/>
    <n v="0"/>
    <n v="0"/>
  </r>
  <r>
    <s v="USR_01169"/>
    <s v="A"/>
    <x v="0"/>
    <x v="3"/>
    <x v="0"/>
    <x v="0"/>
    <n v="4"/>
    <n v="0"/>
    <n v="0"/>
  </r>
  <r>
    <s v="USR_01170"/>
    <s v="A"/>
    <x v="0"/>
    <x v="1"/>
    <x v="0"/>
    <x v="0"/>
    <n v="5"/>
    <n v="1"/>
    <n v="1203.9000000000001"/>
  </r>
  <r>
    <s v="USR_01171"/>
    <s v="B"/>
    <x v="1"/>
    <x v="3"/>
    <x v="0"/>
    <x v="0"/>
    <n v="10"/>
    <n v="0"/>
    <n v="0"/>
  </r>
  <r>
    <s v="USR_01172"/>
    <s v="variant_b"/>
    <x v="1"/>
    <x v="3"/>
    <x v="1"/>
    <x v="1"/>
    <n v="1"/>
    <n v="0"/>
    <n v="0"/>
  </r>
  <r>
    <s v="USR_01173"/>
    <s v="B"/>
    <x v="1"/>
    <x v="1"/>
    <x v="0"/>
    <x v="0"/>
    <n v="7"/>
    <n v="1"/>
    <n v="2906.63"/>
  </r>
  <r>
    <s v="USR_01174"/>
    <s v="A"/>
    <x v="0"/>
    <x v="3"/>
    <x v="0"/>
    <x v="0"/>
    <n v="7"/>
    <n v="0"/>
    <n v="0"/>
  </r>
  <r>
    <s v="USR_01175"/>
    <s v="B"/>
    <x v="1"/>
    <x v="1"/>
    <x v="0"/>
    <x v="0"/>
    <n v="4"/>
    <n v="0"/>
    <n v="0"/>
  </r>
  <r>
    <s v="USR_01176"/>
    <s v="B"/>
    <x v="1"/>
    <x v="3"/>
    <x v="1"/>
    <x v="1"/>
    <n v="3"/>
    <n v="0"/>
    <n v="0"/>
  </r>
  <r>
    <s v="USR_01177"/>
    <s v="B"/>
    <x v="1"/>
    <x v="3"/>
    <x v="1"/>
    <x v="1"/>
    <n v="4"/>
    <n v="0"/>
    <n v="0"/>
  </r>
  <r>
    <s v="USR_01178"/>
    <s v="A"/>
    <x v="0"/>
    <x v="3"/>
    <x v="0"/>
    <x v="0"/>
    <n v="1"/>
    <n v="0"/>
    <n v="0"/>
  </r>
  <r>
    <s v="USR_01179"/>
    <s v="B"/>
    <x v="1"/>
    <x v="0"/>
    <x v="0"/>
    <x v="0"/>
    <n v="5"/>
    <n v="1"/>
    <n v="4524.13"/>
  </r>
  <r>
    <s v="USR_01180"/>
    <s v="B"/>
    <x v="1"/>
    <x v="3"/>
    <x v="0"/>
    <x v="0"/>
    <n v="4"/>
    <n v="0"/>
    <n v="0"/>
  </r>
  <r>
    <s v="USR_01181"/>
    <s v="variant_b"/>
    <x v="1"/>
    <x v="1"/>
    <x v="1"/>
    <x v="1"/>
    <n v="9"/>
    <n v="0"/>
    <n v="0"/>
  </r>
  <r>
    <s v="USR_01182"/>
    <s v="A"/>
    <x v="0"/>
    <x v="3"/>
    <x v="0"/>
    <x v="0"/>
    <n v="8"/>
    <n v="0"/>
    <n v="0"/>
  </r>
  <r>
    <s v="USR_01183"/>
    <s v="B"/>
    <x v="1"/>
    <x v="0"/>
    <x v="0"/>
    <x v="0"/>
    <n v="4"/>
    <n v="1"/>
    <n v="5768.73"/>
  </r>
  <r>
    <s v="USR_01184"/>
    <s v="control"/>
    <x v="0"/>
    <x v="3"/>
    <x v="2"/>
    <x v="2"/>
    <n v="8"/>
    <n v="0"/>
    <n v="0"/>
  </r>
  <r>
    <s v="USR_01185"/>
    <s v="A"/>
    <x v="0"/>
    <x v="1"/>
    <x v="0"/>
    <x v="0"/>
    <n v="1"/>
    <n v="0"/>
    <n v="0"/>
  </r>
  <r>
    <s v="USR_01186"/>
    <s v="control"/>
    <x v="0"/>
    <x v="1"/>
    <x v="1"/>
    <x v="1"/>
    <n v="3"/>
    <n v="0"/>
    <n v="0"/>
  </r>
  <r>
    <s v="USR_01187"/>
    <s v="B"/>
    <x v="1"/>
    <x v="2"/>
    <x v="1"/>
    <x v="1"/>
    <n v="6"/>
    <n v="0"/>
    <n v="0"/>
  </r>
  <r>
    <s v="USR_01188"/>
    <s v="A"/>
    <x v="0"/>
    <x v="3"/>
    <x v="0"/>
    <x v="0"/>
    <n v="8"/>
    <n v="0"/>
    <n v="0"/>
  </r>
  <r>
    <s v="USR_01189"/>
    <s v="A"/>
    <x v="0"/>
    <x v="3"/>
    <x v="0"/>
    <x v="0"/>
    <n v="6"/>
    <n v="1"/>
    <n v="1157.73"/>
  </r>
  <r>
    <s v="USR_01190"/>
    <s v="B"/>
    <x v="1"/>
    <x v="3"/>
    <x v="0"/>
    <x v="0"/>
    <n v="7"/>
    <n v="0"/>
    <n v="0"/>
  </r>
  <r>
    <s v="USR_01191"/>
    <s v="A"/>
    <x v="0"/>
    <x v="0"/>
    <x v="1"/>
    <x v="1"/>
    <n v="5"/>
    <n v="1"/>
    <n v="5674.97"/>
  </r>
  <r>
    <s v="USR_01192"/>
    <s v="B"/>
    <x v="1"/>
    <x v="1"/>
    <x v="1"/>
    <x v="1"/>
    <n v="4"/>
    <n v="0"/>
    <n v="0"/>
  </r>
  <r>
    <s v="USR_01193"/>
    <s v="A"/>
    <x v="0"/>
    <x v="0"/>
    <x v="1"/>
    <x v="1"/>
    <n v="4"/>
    <n v="1"/>
    <n v="5158.5"/>
  </r>
  <r>
    <s v="USR_01194"/>
    <s v="B"/>
    <x v="1"/>
    <x v="3"/>
    <x v="1"/>
    <x v="1"/>
    <n v="7"/>
    <n v="0"/>
    <n v="0"/>
  </r>
  <r>
    <s v="USR_01195"/>
    <s v="A"/>
    <x v="0"/>
    <x v="3"/>
    <x v="1"/>
    <x v="1"/>
    <n v="4"/>
    <n v="0"/>
    <n v="0"/>
  </r>
  <r>
    <s v="USR_01196"/>
    <s v="B"/>
    <x v="1"/>
    <x v="3"/>
    <x v="0"/>
    <x v="0"/>
    <n v="4"/>
    <n v="0"/>
    <n v="0"/>
  </r>
  <r>
    <s v="USR_01197"/>
    <s v="variant_b"/>
    <x v="1"/>
    <x v="2"/>
    <x v="0"/>
    <x v="0"/>
    <n v="8"/>
    <n v="0"/>
    <n v="0"/>
  </r>
  <r>
    <s v="USR_01198"/>
    <s v="variant_b"/>
    <x v="1"/>
    <x v="1"/>
    <x v="0"/>
    <x v="0"/>
    <n v="6"/>
    <n v="0"/>
    <n v="0"/>
  </r>
  <r>
    <s v="USR_01199"/>
    <s v="B"/>
    <x v="1"/>
    <x v="2"/>
    <x v="0"/>
    <x v="0"/>
    <n v="6"/>
    <n v="0"/>
    <n v="0"/>
  </r>
  <r>
    <s v="USR_01200"/>
    <s v="A"/>
    <x v="0"/>
    <x v="3"/>
    <x v="0"/>
    <x v="0"/>
    <n v="5"/>
    <n v="0"/>
    <n v="0"/>
  </r>
  <r>
    <s v="USR_01201"/>
    <s v="B"/>
    <x v="1"/>
    <x v="1"/>
    <x v="1"/>
    <x v="1"/>
    <n v="6"/>
    <n v="0"/>
    <n v="0"/>
  </r>
  <r>
    <s v="USR_01202"/>
    <s v="A"/>
    <x v="0"/>
    <x v="1"/>
    <x v="0"/>
    <x v="0"/>
    <n v="6"/>
    <n v="0"/>
    <n v="0"/>
  </r>
  <r>
    <s v="USR_01203"/>
    <s v="A"/>
    <x v="0"/>
    <x v="3"/>
    <x v="1"/>
    <x v="1"/>
    <n v="4"/>
    <n v="0"/>
    <n v="0"/>
  </r>
  <r>
    <s v="USR_01204"/>
    <s v="A"/>
    <x v="0"/>
    <x v="0"/>
    <x v="1"/>
    <x v="1"/>
    <n v="2"/>
    <n v="0"/>
    <n v="0"/>
  </r>
  <r>
    <s v="USR_01205"/>
    <s v="B"/>
    <x v="1"/>
    <x v="2"/>
    <x v="0"/>
    <x v="0"/>
    <n v="6"/>
    <n v="0"/>
    <n v="0"/>
  </r>
  <r>
    <s v="USR_01206"/>
    <s v="B"/>
    <x v="1"/>
    <x v="0"/>
    <x v="1"/>
    <x v="1"/>
    <n v="6"/>
    <n v="0"/>
    <n v="0"/>
  </r>
  <r>
    <s v="USR_01207"/>
    <s v="B"/>
    <x v="1"/>
    <x v="1"/>
    <x v="0"/>
    <x v="0"/>
    <n v="4"/>
    <n v="0"/>
    <n v="0"/>
  </r>
  <r>
    <s v="USR_01208"/>
    <s v="A"/>
    <x v="0"/>
    <x v="3"/>
    <x v="0"/>
    <x v="0"/>
    <n v="4"/>
    <n v="0"/>
    <n v="0"/>
  </r>
  <r>
    <s v="USR_01209"/>
    <s v="A"/>
    <x v="0"/>
    <x v="3"/>
    <x v="0"/>
    <x v="0"/>
    <n v="4"/>
    <n v="0"/>
    <n v="0"/>
  </r>
  <r>
    <s v="USR_01210"/>
    <s v="variant_b"/>
    <x v="1"/>
    <x v="2"/>
    <x v="0"/>
    <x v="0"/>
    <n v="8"/>
    <n v="0"/>
    <n v="0"/>
  </r>
  <r>
    <s v="USR_01211"/>
    <s v="A"/>
    <x v="0"/>
    <x v="3"/>
    <x v="0"/>
    <x v="0"/>
    <n v="5"/>
    <n v="0"/>
    <n v="0"/>
  </r>
  <r>
    <s v="USR_01212"/>
    <s v="A"/>
    <x v="0"/>
    <x v="1"/>
    <x v="0"/>
    <x v="0"/>
    <n v="5"/>
    <n v="0"/>
    <n v="0"/>
  </r>
  <r>
    <s v="USR_01213"/>
    <s v="A"/>
    <x v="0"/>
    <x v="1"/>
    <x v="0"/>
    <x v="0"/>
    <n v="4"/>
    <n v="0"/>
    <n v="0"/>
  </r>
  <r>
    <s v="USR_01214"/>
    <s v="B"/>
    <x v="1"/>
    <x v="1"/>
    <x v="0"/>
    <x v="0"/>
    <n v="5"/>
    <n v="0"/>
    <n v="0"/>
  </r>
  <r>
    <s v="USR_01215"/>
    <s v="B"/>
    <x v="1"/>
    <x v="2"/>
    <x v="1"/>
    <x v="1"/>
    <n v="5"/>
    <n v="1"/>
    <n v="1507.97"/>
  </r>
  <r>
    <s v="USR_01216"/>
    <s v="A"/>
    <x v="0"/>
    <x v="3"/>
    <x v="1"/>
    <x v="1"/>
    <n v="6"/>
    <n v="0"/>
    <n v="0"/>
  </r>
  <r>
    <s v="USR_01217"/>
    <s v="A"/>
    <x v="0"/>
    <x v="3"/>
    <x v="0"/>
    <x v="0"/>
    <n v="7"/>
    <n v="1"/>
    <n v="1104.44"/>
  </r>
  <r>
    <s v="USR_01218"/>
    <s v="B"/>
    <x v="1"/>
    <x v="3"/>
    <x v="0"/>
    <x v="0"/>
    <n v="8"/>
    <n v="1"/>
    <n v="1462.54"/>
  </r>
  <r>
    <s v="USR_01219"/>
    <s v="B"/>
    <x v="1"/>
    <x v="1"/>
    <x v="0"/>
    <x v="0"/>
    <n v="8"/>
    <n v="0"/>
    <n v="0"/>
  </r>
  <r>
    <s v="USR_01220"/>
    <s v="A"/>
    <x v="0"/>
    <x v="3"/>
    <x v="0"/>
    <x v="0"/>
    <n v="12"/>
    <n v="0"/>
    <n v="0"/>
  </r>
  <r>
    <s v="USR_01221"/>
    <s v="control"/>
    <x v="0"/>
    <x v="3"/>
    <x v="1"/>
    <x v="1"/>
    <n v="4"/>
    <n v="1"/>
    <n v="729.01"/>
  </r>
  <r>
    <s v="USR_01222"/>
    <s v="A"/>
    <x v="0"/>
    <x v="0"/>
    <x v="1"/>
    <x v="1"/>
    <n v="2"/>
    <n v="1"/>
    <n v="4918.6899999999996"/>
  </r>
  <r>
    <s v="USR_01223"/>
    <s v="A"/>
    <x v="0"/>
    <x v="2"/>
    <x v="0"/>
    <x v="0"/>
    <n v="4"/>
    <n v="0"/>
    <n v="0"/>
  </r>
  <r>
    <s v="USR_01224"/>
    <s v="control"/>
    <x v="0"/>
    <x v="3"/>
    <x v="0"/>
    <x v="0"/>
    <n v="3"/>
    <n v="0"/>
    <n v="0"/>
  </r>
  <r>
    <s v="USR_01225"/>
    <s v="A"/>
    <x v="0"/>
    <x v="3"/>
    <x v="0"/>
    <x v="0"/>
    <n v="11"/>
    <n v="0"/>
    <n v="0"/>
  </r>
  <r>
    <s v="USR_01226"/>
    <s v="B"/>
    <x v="1"/>
    <x v="2"/>
    <x v="1"/>
    <x v="1"/>
    <n v="8"/>
    <n v="0"/>
    <n v="0"/>
  </r>
  <r>
    <s v="USR_01227"/>
    <s v="A"/>
    <x v="0"/>
    <x v="3"/>
    <x v="0"/>
    <x v="0"/>
    <n v="8"/>
    <n v="0"/>
    <n v="0"/>
  </r>
  <r>
    <s v="USR_01228"/>
    <s v="A"/>
    <x v="0"/>
    <x v="3"/>
    <x v="2"/>
    <x v="2"/>
    <n v="6"/>
    <n v="0"/>
    <n v="0"/>
  </r>
  <r>
    <s v="USR_01229"/>
    <s v="variant_b"/>
    <x v="1"/>
    <x v="3"/>
    <x v="1"/>
    <x v="1"/>
    <n v="11"/>
    <n v="0"/>
    <n v="0"/>
  </r>
  <r>
    <s v="USR_01230"/>
    <s v="A"/>
    <x v="0"/>
    <x v="1"/>
    <x v="0"/>
    <x v="0"/>
    <n v="3"/>
    <n v="1"/>
    <n v="2164.94"/>
  </r>
  <r>
    <s v="USR_01231"/>
    <s v="B"/>
    <x v="1"/>
    <x v="3"/>
    <x v="1"/>
    <x v="1"/>
    <n v="3"/>
    <n v="0"/>
    <n v="0"/>
  </r>
  <r>
    <s v="USR_01232"/>
    <s v="A"/>
    <x v="0"/>
    <x v="2"/>
    <x v="1"/>
    <x v="1"/>
    <n v="2"/>
    <n v="0"/>
    <n v="0"/>
  </r>
  <r>
    <s v="USR_01233"/>
    <s v="A"/>
    <x v="0"/>
    <x v="1"/>
    <x v="1"/>
    <x v="1"/>
    <n v="6"/>
    <n v="0"/>
    <n v="0"/>
  </r>
  <r>
    <s v="USR_01234"/>
    <s v="A"/>
    <x v="0"/>
    <x v="1"/>
    <x v="0"/>
    <x v="0"/>
    <n v="4"/>
    <n v="0"/>
    <n v="0"/>
  </r>
  <r>
    <s v="USR_01235"/>
    <s v="B"/>
    <x v="1"/>
    <x v="3"/>
    <x v="0"/>
    <x v="0"/>
    <n v="14"/>
    <n v="1"/>
    <n v="1495.55"/>
  </r>
  <r>
    <s v="USR_01236"/>
    <s v="A"/>
    <x v="0"/>
    <x v="1"/>
    <x v="0"/>
    <x v="0"/>
    <n v="5"/>
    <n v="0"/>
    <n v="0"/>
  </r>
  <r>
    <s v="USR_01237"/>
    <s v="B"/>
    <x v="1"/>
    <x v="1"/>
    <x v="1"/>
    <x v="1"/>
    <n v="5"/>
    <n v="0"/>
    <n v="0"/>
  </r>
  <r>
    <s v="USR_01238"/>
    <s v="B"/>
    <x v="1"/>
    <x v="1"/>
    <x v="1"/>
    <x v="1"/>
    <n v="8"/>
    <n v="0"/>
    <n v="0"/>
  </r>
  <r>
    <s v="USR_01239"/>
    <s v="variant_b"/>
    <x v="1"/>
    <x v="1"/>
    <x v="0"/>
    <x v="0"/>
    <n v="8"/>
    <n v="1"/>
    <n v="1906.6"/>
  </r>
  <r>
    <s v="USR_01240"/>
    <s v="A"/>
    <x v="0"/>
    <x v="1"/>
    <x v="0"/>
    <x v="0"/>
    <n v="7"/>
    <n v="0"/>
    <n v="0"/>
  </r>
  <r>
    <s v="USR_01241"/>
    <s v="B"/>
    <x v="1"/>
    <x v="0"/>
    <x v="1"/>
    <x v="1"/>
    <n v="6"/>
    <n v="0"/>
    <n v="0"/>
  </r>
  <r>
    <s v="USR_01242"/>
    <s v="B"/>
    <x v="1"/>
    <x v="0"/>
    <x v="0"/>
    <x v="0"/>
    <n v="10"/>
    <n v="0"/>
    <n v="0"/>
  </r>
  <r>
    <s v="USR_01243"/>
    <s v="B"/>
    <x v="1"/>
    <x v="1"/>
    <x v="1"/>
    <x v="1"/>
    <n v="4"/>
    <n v="0"/>
    <n v="0"/>
  </r>
  <r>
    <s v="USR_01244"/>
    <s v="B"/>
    <x v="1"/>
    <x v="3"/>
    <x v="1"/>
    <x v="1"/>
    <n v="9"/>
    <n v="0"/>
    <n v="0"/>
  </r>
  <r>
    <s v="USR_01245"/>
    <s v="B"/>
    <x v="1"/>
    <x v="3"/>
    <x v="1"/>
    <x v="1"/>
    <n v="8"/>
    <n v="1"/>
    <n v="1413.6"/>
  </r>
  <r>
    <s v="USR_01246"/>
    <s v="B"/>
    <x v="1"/>
    <x v="3"/>
    <x v="1"/>
    <x v="1"/>
    <n v="6"/>
    <n v="0"/>
    <n v="0"/>
  </r>
  <r>
    <s v="USR_01247"/>
    <s v="A"/>
    <x v="0"/>
    <x v="1"/>
    <x v="0"/>
    <x v="0"/>
    <n v="6"/>
    <n v="0"/>
    <n v="0"/>
  </r>
  <r>
    <s v="USR_01248"/>
    <s v="A"/>
    <x v="0"/>
    <x v="3"/>
    <x v="1"/>
    <x v="1"/>
    <n v="10"/>
    <n v="0"/>
    <n v="0"/>
  </r>
  <r>
    <s v="USR_01249"/>
    <s v="control"/>
    <x v="0"/>
    <x v="3"/>
    <x v="1"/>
    <x v="1"/>
    <n v="8"/>
    <n v="0"/>
    <n v="0"/>
  </r>
  <r>
    <s v="USR_01250"/>
    <s v="B"/>
    <x v="1"/>
    <x v="0"/>
    <x v="0"/>
    <x v="0"/>
    <n v="9"/>
    <n v="0"/>
    <n v="0"/>
  </r>
  <r>
    <s v="USR_01251"/>
    <s v="B"/>
    <x v="1"/>
    <x v="0"/>
    <x v="0"/>
    <x v="0"/>
    <n v="4"/>
    <n v="0"/>
    <n v="0"/>
  </r>
  <r>
    <s v="USR_01252"/>
    <s v="B"/>
    <x v="1"/>
    <x v="0"/>
    <x v="0"/>
    <x v="0"/>
    <n v="4"/>
    <n v="0"/>
    <n v="0"/>
  </r>
  <r>
    <s v="USR_01253"/>
    <s v="A"/>
    <x v="0"/>
    <x v="3"/>
    <x v="0"/>
    <x v="0"/>
    <n v="8"/>
    <n v="0"/>
    <n v="0"/>
  </r>
  <r>
    <s v="USR_01254"/>
    <s v="A"/>
    <x v="0"/>
    <x v="1"/>
    <x v="0"/>
    <x v="0"/>
    <n v="6"/>
    <n v="0"/>
    <n v="0"/>
  </r>
  <r>
    <s v="USR_01255"/>
    <s v="B"/>
    <x v="1"/>
    <x v="3"/>
    <x v="0"/>
    <x v="0"/>
    <n v="4"/>
    <n v="1"/>
    <n v="1364.96"/>
  </r>
  <r>
    <s v="USR_01256"/>
    <s v="A"/>
    <x v="0"/>
    <x v="3"/>
    <x v="1"/>
    <x v="1"/>
    <n v="4"/>
    <n v="0"/>
    <n v="0"/>
  </r>
  <r>
    <s v="USR_01257"/>
    <s v="A"/>
    <x v="0"/>
    <x v="3"/>
    <x v="1"/>
    <x v="1"/>
    <n v="6"/>
    <n v="0"/>
    <n v="0"/>
  </r>
  <r>
    <s v="USR_01258"/>
    <s v="B"/>
    <x v="1"/>
    <x v="3"/>
    <x v="1"/>
    <x v="1"/>
    <n v="10"/>
    <n v="0"/>
    <n v="0"/>
  </r>
  <r>
    <s v="USR_01259"/>
    <s v="A"/>
    <x v="0"/>
    <x v="1"/>
    <x v="0"/>
    <x v="0"/>
    <n v="6"/>
    <n v="0"/>
    <n v="0"/>
  </r>
  <r>
    <s v="USR_01260"/>
    <s v="B"/>
    <x v="1"/>
    <x v="0"/>
    <x v="0"/>
    <x v="0"/>
    <n v="5"/>
    <n v="0"/>
    <n v="0"/>
  </r>
  <r>
    <s v="USR_01261"/>
    <s v="A"/>
    <x v="0"/>
    <x v="3"/>
    <x v="0"/>
    <x v="0"/>
    <n v="2"/>
    <n v="0"/>
    <n v="0"/>
  </r>
  <r>
    <s v="USR_01262"/>
    <s v="B"/>
    <x v="1"/>
    <x v="1"/>
    <x v="0"/>
    <x v="0"/>
    <n v="8"/>
    <n v="0"/>
    <n v="0"/>
  </r>
  <r>
    <s v="USR_01263"/>
    <s v="A"/>
    <x v="0"/>
    <x v="1"/>
    <x v="0"/>
    <x v="0"/>
    <n v="6"/>
    <n v="0"/>
    <n v="0"/>
  </r>
  <r>
    <s v="USR_01264"/>
    <s v="A"/>
    <x v="0"/>
    <x v="3"/>
    <x v="2"/>
    <x v="2"/>
    <n v="5"/>
    <n v="0"/>
    <n v="0"/>
  </r>
  <r>
    <s v="USR_01265"/>
    <s v="A"/>
    <x v="0"/>
    <x v="1"/>
    <x v="0"/>
    <x v="0"/>
    <n v="10"/>
    <n v="0"/>
    <n v="0"/>
  </r>
  <r>
    <s v="USR_01266"/>
    <s v="A"/>
    <x v="0"/>
    <x v="3"/>
    <x v="0"/>
    <x v="0"/>
    <n v="2"/>
    <n v="0"/>
    <n v="0"/>
  </r>
  <r>
    <s v="USR_01267"/>
    <s v="A"/>
    <x v="0"/>
    <x v="1"/>
    <x v="2"/>
    <x v="2"/>
    <n v="10"/>
    <n v="0"/>
    <n v="0"/>
  </r>
  <r>
    <s v="USR_01268"/>
    <s v="B"/>
    <x v="1"/>
    <x v="1"/>
    <x v="0"/>
    <x v="0"/>
    <n v="1"/>
    <n v="0"/>
    <n v="0"/>
  </r>
  <r>
    <s v="USR_01269"/>
    <s v="B"/>
    <x v="1"/>
    <x v="3"/>
    <x v="0"/>
    <x v="0"/>
    <n v="6"/>
    <n v="0"/>
    <n v="0"/>
  </r>
  <r>
    <s v="USR_01270"/>
    <s v="A"/>
    <x v="0"/>
    <x v="3"/>
    <x v="1"/>
    <x v="1"/>
    <n v="4"/>
    <n v="0"/>
    <n v="0"/>
  </r>
  <r>
    <s v="USR_01271"/>
    <s v="B"/>
    <x v="1"/>
    <x v="1"/>
    <x v="0"/>
    <x v="0"/>
    <n v="7"/>
    <n v="0"/>
    <n v="0"/>
  </r>
  <r>
    <s v="USR_01272"/>
    <s v="B"/>
    <x v="1"/>
    <x v="0"/>
    <x v="1"/>
    <x v="1"/>
    <n v="3"/>
    <n v="0"/>
    <n v="0"/>
  </r>
  <r>
    <s v="USR_01273"/>
    <s v="B"/>
    <x v="1"/>
    <x v="3"/>
    <x v="0"/>
    <x v="0"/>
    <n v="4"/>
    <n v="0"/>
    <n v="0"/>
  </r>
  <r>
    <s v="USR_01274"/>
    <s v="A"/>
    <x v="0"/>
    <x v="1"/>
    <x v="1"/>
    <x v="1"/>
    <n v="5"/>
    <n v="0"/>
    <n v="0"/>
  </r>
  <r>
    <s v="USR_01275"/>
    <s v="B"/>
    <x v="1"/>
    <x v="1"/>
    <x v="1"/>
    <x v="1"/>
    <n v="5"/>
    <n v="0"/>
    <n v="0"/>
  </r>
  <r>
    <s v="USR_01276"/>
    <s v="A"/>
    <x v="0"/>
    <x v="2"/>
    <x v="1"/>
    <x v="1"/>
    <n v="4"/>
    <n v="0"/>
    <n v="0"/>
  </r>
  <r>
    <s v="USR_01277"/>
    <s v="A"/>
    <x v="0"/>
    <x v="0"/>
    <x v="0"/>
    <x v="0"/>
    <n v="3"/>
    <n v="0"/>
    <n v="0"/>
  </r>
  <r>
    <s v="USR_01278"/>
    <s v="variant_b"/>
    <x v="1"/>
    <x v="1"/>
    <x v="0"/>
    <x v="0"/>
    <n v="7"/>
    <n v="0"/>
    <n v="0"/>
  </r>
  <r>
    <s v="USR_01279"/>
    <s v="A"/>
    <x v="0"/>
    <x v="1"/>
    <x v="0"/>
    <x v="0"/>
    <n v="9"/>
    <n v="0"/>
    <n v="0"/>
  </r>
  <r>
    <s v="USR_01280"/>
    <s v="B"/>
    <x v="1"/>
    <x v="0"/>
    <x v="0"/>
    <x v="0"/>
    <n v="11"/>
    <n v="1"/>
    <n v="2702.33"/>
  </r>
  <r>
    <s v="USR_01281"/>
    <s v="B"/>
    <x v="1"/>
    <x v="3"/>
    <x v="0"/>
    <x v="0"/>
    <n v="7"/>
    <n v="0"/>
    <n v="0"/>
  </r>
  <r>
    <s v="USR_01282"/>
    <s v="B"/>
    <x v="1"/>
    <x v="3"/>
    <x v="1"/>
    <x v="1"/>
    <n v="9"/>
    <n v="0"/>
    <n v="0"/>
  </r>
  <r>
    <s v="USR_01283"/>
    <s v="B"/>
    <x v="1"/>
    <x v="3"/>
    <x v="1"/>
    <x v="1"/>
    <n v="5"/>
    <n v="0"/>
    <n v="0"/>
  </r>
  <r>
    <s v="USR_01284"/>
    <s v="A"/>
    <x v="0"/>
    <x v="0"/>
    <x v="1"/>
    <x v="1"/>
    <n v="7"/>
    <n v="0"/>
    <n v="0"/>
  </r>
  <r>
    <s v="USR_01285"/>
    <s v="A"/>
    <x v="0"/>
    <x v="0"/>
    <x v="0"/>
    <x v="0"/>
    <n v="7"/>
    <n v="0"/>
    <n v="0"/>
  </r>
  <r>
    <s v="USR_01286"/>
    <s v="B"/>
    <x v="1"/>
    <x v="3"/>
    <x v="1"/>
    <x v="1"/>
    <n v="4"/>
    <n v="0"/>
    <n v="0"/>
  </r>
  <r>
    <s v="USR_01287"/>
    <s v="A"/>
    <x v="0"/>
    <x v="1"/>
    <x v="0"/>
    <x v="0"/>
    <n v="6"/>
    <n v="1"/>
    <n v="3206.6"/>
  </r>
  <r>
    <s v="USR_01288"/>
    <s v="A"/>
    <x v="0"/>
    <x v="1"/>
    <x v="0"/>
    <x v="0"/>
    <n v="4"/>
    <n v="1"/>
    <n v="2164.61"/>
  </r>
  <r>
    <s v="USR_01289"/>
    <s v="A"/>
    <x v="0"/>
    <x v="3"/>
    <x v="1"/>
    <x v="1"/>
    <n v="5"/>
    <n v="0"/>
    <n v="0"/>
  </r>
  <r>
    <s v="USR_01290"/>
    <s v="A"/>
    <x v="0"/>
    <x v="2"/>
    <x v="0"/>
    <x v="0"/>
    <n v="6"/>
    <n v="0"/>
    <n v="0"/>
  </r>
  <r>
    <s v="USR_01291"/>
    <s v="A"/>
    <x v="0"/>
    <x v="3"/>
    <x v="0"/>
    <x v="0"/>
    <n v="3"/>
    <n v="0"/>
    <n v="0"/>
  </r>
  <r>
    <s v="USR_01292"/>
    <s v="A"/>
    <x v="0"/>
    <x v="3"/>
    <x v="0"/>
    <x v="0"/>
    <n v="5"/>
    <n v="0"/>
    <n v="0"/>
  </r>
  <r>
    <s v="USR_01293"/>
    <s v="B"/>
    <x v="1"/>
    <x v="1"/>
    <x v="1"/>
    <x v="1"/>
    <n v="7"/>
    <n v="0"/>
    <n v="0"/>
  </r>
  <r>
    <s v="USR_01294"/>
    <s v="B"/>
    <x v="1"/>
    <x v="1"/>
    <x v="0"/>
    <x v="0"/>
    <n v="9"/>
    <n v="1"/>
    <n v="2071.6999999999998"/>
  </r>
  <r>
    <s v="USR_01295"/>
    <s v="B"/>
    <x v="1"/>
    <x v="3"/>
    <x v="0"/>
    <x v="0"/>
    <n v="7"/>
    <n v="0"/>
    <n v="0"/>
  </r>
  <r>
    <s v="USR_01296"/>
    <s v="A"/>
    <x v="0"/>
    <x v="1"/>
    <x v="0"/>
    <x v="0"/>
    <n v="6"/>
    <n v="0"/>
    <n v="0"/>
  </r>
  <r>
    <s v="USR_01297"/>
    <s v="A"/>
    <x v="0"/>
    <x v="1"/>
    <x v="0"/>
    <x v="0"/>
    <n v="6"/>
    <n v="0"/>
    <n v="0"/>
  </r>
  <r>
    <s v="USR_01298"/>
    <s v="A"/>
    <x v="0"/>
    <x v="3"/>
    <x v="0"/>
    <x v="0"/>
    <n v="7"/>
    <n v="0"/>
    <n v="0"/>
  </r>
  <r>
    <s v="USR_01299"/>
    <s v="B"/>
    <x v="1"/>
    <x v="3"/>
    <x v="1"/>
    <x v="1"/>
    <n v="3"/>
    <n v="0"/>
    <n v="0"/>
  </r>
  <r>
    <s v="USR_01300"/>
    <s v="B"/>
    <x v="1"/>
    <x v="1"/>
    <x v="0"/>
    <x v="0"/>
    <n v="7"/>
    <n v="0"/>
    <n v="0"/>
  </r>
  <r>
    <s v="USR_01301"/>
    <s v="A"/>
    <x v="0"/>
    <x v="3"/>
    <x v="1"/>
    <x v="1"/>
    <n v="10"/>
    <n v="1"/>
    <n v="954.93"/>
  </r>
  <r>
    <s v="USR_01302"/>
    <s v="control"/>
    <x v="0"/>
    <x v="2"/>
    <x v="0"/>
    <x v="0"/>
    <n v="6"/>
    <n v="0"/>
    <n v="0"/>
  </r>
  <r>
    <s v="USR_01303"/>
    <s v="A"/>
    <x v="0"/>
    <x v="0"/>
    <x v="0"/>
    <x v="0"/>
    <n v="8"/>
    <n v="0"/>
    <n v="0"/>
  </r>
  <r>
    <s v="USR_01304"/>
    <s v="B"/>
    <x v="1"/>
    <x v="2"/>
    <x v="1"/>
    <x v="1"/>
    <n v="5"/>
    <n v="0"/>
    <n v="0"/>
  </r>
  <r>
    <s v="USR_01305"/>
    <s v="B"/>
    <x v="1"/>
    <x v="3"/>
    <x v="0"/>
    <x v="0"/>
    <n v="5"/>
    <n v="0"/>
    <n v="0"/>
  </r>
  <r>
    <s v="USR_01306"/>
    <s v="B"/>
    <x v="1"/>
    <x v="2"/>
    <x v="0"/>
    <x v="0"/>
    <n v="9"/>
    <n v="0"/>
    <n v="0"/>
  </r>
  <r>
    <s v="USR_01307"/>
    <s v="B"/>
    <x v="1"/>
    <x v="1"/>
    <x v="0"/>
    <x v="0"/>
    <n v="3"/>
    <n v="0"/>
    <n v="0"/>
  </r>
  <r>
    <s v="USR_01308"/>
    <s v="B"/>
    <x v="1"/>
    <x v="3"/>
    <x v="0"/>
    <x v="0"/>
    <n v="4"/>
    <n v="0"/>
    <n v="0"/>
  </r>
  <r>
    <s v="USR_01309"/>
    <s v="A"/>
    <x v="0"/>
    <x v="3"/>
    <x v="1"/>
    <x v="1"/>
    <n v="11"/>
    <n v="0"/>
    <n v="0"/>
  </r>
  <r>
    <s v="USR_01310"/>
    <s v="B"/>
    <x v="1"/>
    <x v="3"/>
    <x v="1"/>
    <x v="1"/>
    <n v="6"/>
    <n v="1"/>
    <n v="1840.17"/>
  </r>
  <r>
    <s v="USR_01311"/>
    <s v="A"/>
    <x v="0"/>
    <x v="1"/>
    <x v="0"/>
    <x v="0"/>
    <n v="10"/>
    <n v="0"/>
    <n v="0"/>
  </r>
  <r>
    <s v="USR_01312"/>
    <s v="B"/>
    <x v="1"/>
    <x v="1"/>
    <x v="1"/>
    <x v="1"/>
    <n v="2"/>
    <n v="0"/>
    <n v="0"/>
  </r>
  <r>
    <s v="USR_01313"/>
    <s v="B"/>
    <x v="1"/>
    <x v="3"/>
    <x v="1"/>
    <x v="1"/>
    <n v="5"/>
    <n v="0"/>
    <n v="0"/>
  </r>
  <r>
    <s v="USR_01314"/>
    <s v="B"/>
    <x v="1"/>
    <x v="1"/>
    <x v="0"/>
    <x v="0"/>
    <n v="3"/>
    <n v="0"/>
    <n v="0"/>
  </r>
  <r>
    <s v="USR_01315"/>
    <s v="A"/>
    <x v="0"/>
    <x v="3"/>
    <x v="0"/>
    <x v="0"/>
    <n v="8"/>
    <n v="0"/>
    <n v="0"/>
  </r>
  <r>
    <s v="USR_01316"/>
    <s v="B"/>
    <x v="1"/>
    <x v="1"/>
    <x v="1"/>
    <x v="1"/>
    <n v="7"/>
    <n v="0"/>
    <n v="0"/>
  </r>
  <r>
    <s v="USR_01317"/>
    <s v="B"/>
    <x v="1"/>
    <x v="3"/>
    <x v="1"/>
    <x v="1"/>
    <n v="6"/>
    <n v="0"/>
    <n v="0"/>
  </r>
  <r>
    <s v="USR_01318"/>
    <s v="B"/>
    <x v="1"/>
    <x v="0"/>
    <x v="1"/>
    <x v="1"/>
    <n v="7"/>
    <n v="0"/>
    <n v="0"/>
  </r>
  <r>
    <s v="USR_01319"/>
    <s v="A"/>
    <x v="0"/>
    <x v="0"/>
    <x v="1"/>
    <x v="1"/>
    <n v="7"/>
    <n v="0"/>
    <n v="0"/>
  </r>
  <r>
    <s v="USR_01320"/>
    <s v="A"/>
    <x v="0"/>
    <x v="1"/>
    <x v="0"/>
    <x v="0"/>
    <n v="7"/>
    <n v="0"/>
    <n v="0"/>
  </r>
  <r>
    <s v="USR_01321"/>
    <s v="A"/>
    <x v="0"/>
    <x v="3"/>
    <x v="1"/>
    <x v="1"/>
    <n v="8"/>
    <n v="0"/>
    <n v="0"/>
  </r>
  <r>
    <s v="USR_01322"/>
    <s v="A"/>
    <x v="0"/>
    <x v="3"/>
    <x v="0"/>
    <x v="0"/>
    <n v="7"/>
    <n v="0"/>
    <n v="0"/>
  </r>
  <r>
    <s v="USR_01323"/>
    <s v="B"/>
    <x v="1"/>
    <x v="0"/>
    <x v="1"/>
    <x v="1"/>
    <n v="4"/>
    <n v="0"/>
    <n v="0"/>
  </r>
  <r>
    <s v="USR_01324"/>
    <s v="A"/>
    <x v="0"/>
    <x v="3"/>
    <x v="0"/>
    <x v="0"/>
    <n v="12"/>
    <n v="0"/>
    <n v="0"/>
  </r>
  <r>
    <s v="USR_01325"/>
    <s v="variant_b"/>
    <x v="1"/>
    <x v="3"/>
    <x v="0"/>
    <x v="0"/>
    <n v="7"/>
    <n v="1"/>
    <n v="1297.8900000000001"/>
  </r>
  <r>
    <s v="USR_01326"/>
    <s v="A"/>
    <x v="0"/>
    <x v="3"/>
    <x v="0"/>
    <x v="0"/>
    <n v="7"/>
    <n v="0"/>
    <n v="0"/>
  </r>
  <r>
    <s v="USR_01327"/>
    <s v="A"/>
    <x v="0"/>
    <x v="1"/>
    <x v="1"/>
    <x v="1"/>
    <n v="6"/>
    <n v="0"/>
    <n v="0"/>
  </r>
  <r>
    <s v="USR_01328"/>
    <s v="B"/>
    <x v="1"/>
    <x v="1"/>
    <x v="0"/>
    <x v="0"/>
    <n v="12"/>
    <n v="0"/>
    <n v="0"/>
  </r>
  <r>
    <s v="USR_01329"/>
    <s v="B"/>
    <x v="1"/>
    <x v="0"/>
    <x v="0"/>
    <x v="0"/>
    <n v="5"/>
    <n v="0"/>
    <n v="0"/>
  </r>
  <r>
    <s v="USR_01330"/>
    <s v="B"/>
    <x v="1"/>
    <x v="3"/>
    <x v="0"/>
    <x v="0"/>
    <n v="8"/>
    <n v="0"/>
    <n v="0"/>
  </r>
  <r>
    <s v="USR_01331"/>
    <s v="B"/>
    <x v="1"/>
    <x v="3"/>
    <x v="0"/>
    <x v="0"/>
    <n v="2"/>
    <n v="0"/>
    <n v="0"/>
  </r>
  <r>
    <s v="USR_01332"/>
    <s v="B"/>
    <x v="1"/>
    <x v="0"/>
    <x v="1"/>
    <x v="1"/>
    <n v="12"/>
    <n v="0"/>
    <n v="0"/>
  </r>
  <r>
    <s v="USR_01333"/>
    <s v="A"/>
    <x v="0"/>
    <x v="0"/>
    <x v="1"/>
    <x v="1"/>
    <n v="3"/>
    <n v="1"/>
    <n v="5942.51"/>
  </r>
  <r>
    <s v="USR_01334"/>
    <s v="variant_b"/>
    <x v="1"/>
    <x v="3"/>
    <x v="0"/>
    <x v="0"/>
    <n v="4"/>
    <n v="0"/>
    <n v="0"/>
  </r>
  <r>
    <s v="USR_01335"/>
    <s v="variant_b"/>
    <x v="1"/>
    <x v="1"/>
    <x v="0"/>
    <x v="0"/>
    <n v="4"/>
    <n v="0"/>
    <n v="0"/>
  </r>
  <r>
    <s v="USR_01336"/>
    <s v="B"/>
    <x v="1"/>
    <x v="3"/>
    <x v="1"/>
    <x v="1"/>
    <n v="2"/>
    <n v="0"/>
    <n v="0"/>
  </r>
  <r>
    <s v="USR_01337"/>
    <s v="A"/>
    <x v="0"/>
    <x v="2"/>
    <x v="0"/>
    <x v="0"/>
    <n v="6"/>
    <n v="0"/>
    <n v="0"/>
  </r>
  <r>
    <s v="USR_01338"/>
    <s v="B"/>
    <x v="1"/>
    <x v="3"/>
    <x v="0"/>
    <x v="0"/>
    <n v="10"/>
    <n v="1"/>
    <n v="1113.51"/>
  </r>
  <r>
    <s v="USR_01339"/>
    <s v="A"/>
    <x v="0"/>
    <x v="2"/>
    <x v="0"/>
    <x v="0"/>
    <n v="4"/>
    <n v="0"/>
    <n v="0"/>
  </r>
  <r>
    <s v="USR_01340"/>
    <s v="A"/>
    <x v="0"/>
    <x v="1"/>
    <x v="0"/>
    <x v="0"/>
    <n v="8"/>
    <n v="0"/>
    <n v="0"/>
  </r>
  <r>
    <s v="USR_01341"/>
    <s v="A"/>
    <x v="0"/>
    <x v="1"/>
    <x v="0"/>
    <x v="0"/>
    <n v="6"/>
    <n v="0"/>
    <n v="0"/>
  </r>
  <r>
    <s v="USR_01342"/>
    <s v="B"/>
    <x v="1"/>
    <x v="3"/>
    <x v="1"/>
    <x v="1"/>
    <n v="4"/>
    <n v="0"/>
    <n v="0"/>
  </r>
  <r>
    <s v="USR_01343"/>
    <s v="B"/>
    <x v="1"/>
    <x v="1"/>
    <x v="1"/>
    <x v="1"/>
    <n v="6"/>
    <n v="0"/>
    <n v="0"/>
  </r>
  <r>
    <s v="USR_01344"/>
    <s v="B"/>
    <x v="1"/>
    <x v="3"/>
    <x v="0"/>
    <x v="0"/>
    <n v="9"/>
    <n v="0"/>
    <n v="0"/>
  </r>
  <r>
    <s v="USR_01345"/>
    <s v="B"/>
    <x v="1"/>
    <x v="3"/>
    <x v="0"/>
    <x v="0"/>
    <n v="2"/>
    <n v="0"/>
    <n v="0"/>
  </r>
  <r>
    <s v="USR_01346"/>
    <s v="A"/>
    <x v="0"/>
    <x v="1"/>
    <x v="0"/>
    <x v="0"/>
    <n v="7"/>
    <n v="0"/>
    <n v="0"/>
  </r>
  <r>
    <s v="USR_01347"/>
    <s v="A"/>
    <x v="0"/>
    <x v="2"/>
    <x v="0"/>
    <x v="0"/>
    <n v="6"/>
    <n v="0"/>
    <n v="0"/>
  </r>
  <r>
    <s v="USR_01348"/>
    <s v="A"/>
    <x v="0"/>
    <x v="1"/>
    <x v="2"/>
    <x v="2"/>
    <n v="6"/>
    <n v="0"/>
    <n v="0"/>
  </r>
  <r>
    <s v="USR_01349"/>
    <s v="variant_b"/>
    <x v="1"/>
    <x v="1"/>
    <x v="1"/>
    <x v="1"/>
    <n v="9"/>
    <n v="0"/>
    <n v="0"/>
  </r>
  <r>
    <s v="USR_01350"/>
    <s v="A"/>
    <x v="0"/>
    <x v="3"/>
    <x v="1"/>
    <x v="1"/>
    <n v="4"/>
    <n v="0"/>
    <n v="0"/>
  </r>
  <r>
    <s v="USR_01351"/>
    <s v="B"/>
    <x v="1"/>
    <x v="3"/>
    <x v="0"/>
    <x v="0"/>
    <n v="3"/>
    <n v="0"/>
    <n v="0"/>
  </r>
  <r>
    <s v="USR_01352"/>
    <s v="B"/>
    <x v="1"/>
    <x v="3"/>
    <x v="0"/>
    <x v="0"/>
    <n v="5"/>
    <n v="0"/>
    <n v="0"/>
  </r>
  <r>
    <s v="USR_01353"/>
    <s v="A"/>
    <x v="0"/>
    <x v="1"/>
    <x v="0"/>
    <x v="0"/>
    <n v="4"/>
    <n v="0"/>
    <n v="0"/>
  </r>
  <r>
    <s v="USR_01354"/>
    <s v="B"/>
    <x v="1"/>
    <x v="2"/>
    <x v="1"/>
    <x v="1"/>
    <n v="6"/>
    <n v="0"/>
    <n v="0"/>
  </r>
  <r>
    <s v="USR_01355"/>
    <s v="B"/>
    <x v="1"/>
    <x v="1"/>
    <x v="1"/>
    <x v="1"/>
    <n v="11"/>
    <n v="0"/>
    <n v="0"/>
  </r>
  <r>
    <s v="USR_01356"/>
    <s v="B"/>
    <x v="1"/>
    <x v="3"/>
    <x v="1"/>
    <x v="1"/>
    <n v="10"/>
    <n v="0"/>
    <n v="0"/>
  </r>
  <r>
    <s v="USR_01357"/>
    <s v="B"/>
    <x v="1"/>
    <x v="3"/>
    <x v="1"/>
    <x v="1"/>
    <n v="8"/>
    <n v="1"/>
    <n v="843.42"/>
  </r>
  <r>
    <s v="USR_01358"/>
    <s v="A"/>
    <x v="0"/>
    <x v="1"/>
    <x v="0"/>
    <x v="0"/>
    <n v="1"/>
    <n v="0"/>
    <n v="0"/>
  </r>
  <r>
    <s v="USR_01359"/>
    <s v="A"/>
    <x v="0"/>
    <x v="3"/>
    <x v="1"/>
    <x v="1"/>
    <n v="5"/>
    <n v="0"/>
    <n v="0"/>
  </r>
  <r>
    <s v="USR_01360"/>
    <s v="B"/>
    <x v="1"/>
    <x v="0"/>
    <x v="1"/>
    <x v="1"/>
    <n v="5"/>
    <n v="1"/>
    <n v="5192.59"/>
  </r>
  <r>
    <s v="USR_01361"/>
    <s v="B"/>
    <x v="1"/>
    <x v="0"/>
    <x v="0"/>
    <x v="0"/>
    <n v="11"/>
    <n v="1"/>
    <n v="5251.35"/>
  </r>
  <r>
    <s v="USR_01362"/>
    <s v="A"/>
    <x v="0"/>
    <x v="1"/>
    <x v="0"/>
    <x v="0"/>
    <n v="7"/>
    <n v="1"/>
    <n v="2363.3000000000002"/>
  </r>
  <r>
    <s v="USR_01363"/>
    <s v="B"/>
    <x v="1"/>
    <x v="3"/>
    <x v="0"/>
    <x v="0"/>
    <n v="5"/>
    <n v="0"/>
    <n v="0"/>
  </r>
  <r>
    <s v="USR_01364"/>
    <s v="B"/>
    <x v="1"/>
    <x v="3"/>
    <x v="0"/>
    <x v="0"/>
    <n v="9"/>
    <n v="0"/>
    <n v="0"/>
  </r>
  <r>
    <s v="USR_01365"/>
    <s v="B"/>
    <x v="1"/>
    <x v="3"/>
    <x v="0"/>
    <x v="0"/>
    <n v="6"/>
    <n v="0"/>
    <n v="0"/>
  </r>
  <r>
    <s v="USR_01366"/>
    <s v="A"/>
    <x v="0"/>
    <x v="3"/>
    <x v="1"/>
    <x v="1"/>
    <n v="5"/>
    <n v="0"/>
    <n v="0"/>
  </r>
  <r>
    <s v="USR_01367"/>
    <s v="B"/>
    <x v="1"/>
    <x v="3"/>
    <x v="0"/>
    <x v="0"/>
    <n v="5"/>
    <n v="0"/>
    <n v="0"/>
  </r>
  <r>
    <s v="USR_01368"/>
    <s v="B"/>
    <x v="1"/>
    <x v="1"/>
    <x v="0"/>
    <x v="0"/>
    <n v="2"/>
    <n v="0"/>
    <n v="0"/>
  </r>
  <r>
    <s v="USR_01369"/>
    <s v="A"/>
    <x v="0"/>
    <x v="1"/>
    <x v="0"/>
    <x v="0"/>
    <n v="7"/>
    <n v="0"/>
    <n v="0"/>
  </r>
  <r>
    <s v="USR_01370"/>
    <s v="A"/>
    <x v="0"/>
    <x v="3"/>
    <x v="0"/>
    <x v="0"/>
    <n v="11"/>
    <n v="0"/>
    <n v="0"/>
  </r>
  <r>
    <s v="USR_01371"/>
    <s v="variant_b"/>
    <x v="1"/>
    <x v="3"/>
    <x v="1"/>
    <x v="1"/>
    <n v="6"/>
    <n v="0"/>
    <n v="0"/>
  </r>
  <r>
    <s v="USR_01372"/>
    <s v="A"/>
    <x v="0"/>
    <x v="3"/>
    <x v="0"/>
    <x v="0"/>
    <n v="9"/>
    <n v="0"/>
    <n v="0"/>
  </r>
  <r>
    <s v="USR_01373"/>
    <s v="B"/>
    <x v="1"/>
    <x v="3"/>
    <x v="1"/>
    <x v="1"/>
    <n v="6"/>
    <n v="0"/>
    <n v="0"/>
  </r>
  <r>
    <s v="USR_01374"/>
    <s v="B"/>
    <x v="1"/>
    <x v="0"/>
    <x v="1"/>
    <x v="1"/>
    <n v="11"/>
    <n v="0"/>
    <n v="0"/>
  </r>
  <r>
    <s v="USR_01375"/>
    <s v="A"/>
    <x v="0"/>
    <x v="3"/>
    <x v="0"/>
    <x v="0"/>
    <n v="5"/>
    <n v="0"/>
    <n v="0"/>
  </r>
  <r>
    <s v="USR_01376"/>
    <s v="B"/>
    <x v="1"/>
    <x v="3"/>
    <x v="0"/>
    <x v="0"/>
    <n v="5"/>
    <n v="0"/>
    <n v="0"/>
  </r>
  <r>
    <s v="USR_01377"/>
    <s v="A"/>
    <x v="0"/>
    <x v="3"/>
    <x v="1"/>
    <x v="1"/>
    <n v="7"/>
    <n v="1"/>
    <n v="1010.84"/>
  </r>
  <r>
    <s v="USR_01378"/>
    <s v="B"/>
    <x v="1"/>
    <x v="0"/>
    <x v="0"/>
    <x v="0"/>
    <n v="15"/>
    <n v="0"/>
    <n v="0"/>
  </r>
  <r>
    <s v="USR_01379"/>
    <s v="A"/>
    <x v="0"/>
    <x v="1"/>
    <x v="1"/>
    <x v="1"/>
    <n v="7"/>
    <n v="0"/>
    <n v="0"/>
  </r>
  <r>
    <s v="USR_01380"/>
    <s v="B"/>
    <x v="1"/>
    <x v="3"/>
    <x v="0"/>
    <x v="0"/>
    <n v="14"/>
    <n v="0"/>
    <n v="0"/>
  </r>
  <r>
    <s v="USR_01381"/>
    <s v="A"/>
    <x v="0"/>
    <x v="1"/>
    <x v="1"/>
    <x v="1"/>
    <n v="1"/>
    <n v="0"/>
    <n v="0"/>
  </r>
  <r>
    <s v="USR_01382"/>
    <s v="A"/>
    <x v="0"/>
    <x v="1"/>
    <x v="1"/>
    <x v="1"/>
    <n v="1"/>
    <n v="0"/>
    <n v="0"/>
  </r>
  <r>
    <s v="USR_01383"/>
    <s v="variant_b"/>
    <x v="1"/>
    <x v="2"/>
    <x v="0"/>
    <x v="0"/>
    <n v="9"/>
    <n v="1"/>
    <n v="1777.62"/>
  </r>
  <r>
    <s v="USR_01384"/>
    <s v="A"/>
    <x v="0"/>
    <x v="3"/>
    <x v="0"/>
    <x v="0"/>
    <n v="3"/>
    <n v="0"/>
    <n v="0"/>
  </r>
  <r>
    <s v="USR_01385"/>
    <s v="B"/>
    <x v="1"/>
    <x v="0"/>
    <x v="0"/>
    <x v="0"/>
    <n v="5"/>
    <n v="0"/>
    <n v="0"/>
  </r>
  <r>
    <s v="USR_01386"/>
    <s v="A"/>
    <x v="0"/>
    <x v="2"/>
    <x v="1"/>
    <x v="1"/>
    <n v="3"/>
    <n v="0"/>
    <n v="0"/>
  </r>
  <r>
    <s v="USR_01387"/>
    <s v="B"/>
    <x v="1"/>
    <x v="0"/>
    <x v="1"/>
    <x v="1"/>
    <n v="7"/>
    <n v="1"/>
    <n v="5731.95"/>
  </r>
  <r>
    <s v="USR_01388"/>
    <s v="A"/>
    <x v="0"/>
    <x v="1"/>
    <x v="1"/>
    <x v="1"/>
    <n v="6"/>
    <n v="0"/>
    <n v="0"/>
  </r>
  <r>
    <s v="USR_01389"/>
    <s v="variant_b"/>
    <x v="1"/>
    <x v="1"/>
    <x v="0"/>
    <x v="0"/>
    <n v="6"/>
    <n v="0"/>
    <n v="0"/>
  </r>
  <r>
    <s v="USR_01390"/>
    <s v="A"/>
    <x v="0"/>
    <x v="3"/>
    <x v="1"/>
    <x v="1"/>
    <n v="8"/>
    <n v="0"/>
    <n v="0"/>
  </r>
  <r>
    <s v="USR_01391"/>
    <s v="A"/>
    <x v="0"/>
    <x v="1"/>
    <x v="0"/>
    <x v="0"/>
    <n v="10"/>
    <n v="1"/>
    <n v="2273.9"/>
  </r>
  <r>
    <s v="USR_01392"/>
    <s v="A"/>
    <x v="0"/>
    <x v="1"/>
    <x v="0"/>
    <x v="0"/>
    <n v="5"/>
    <n v="0"/>
    <n v="0"/>
  </r>
  <r>
    <s v="USR_01393"/>
    <s v="A"/>
    <x v="0"/>
    <x v="1"/>
    <x v="1"/>
    <x v="1"/>
    <n v="9"/>
    <n v="0"/>
    <n v="0"/>
  </r>
  <r>
    <s v="USR_01394"/>
    <s v="B"/>
    <x v="1"/>
    <x v="1"/>
    <x v="1"/>
    <x v="1"/>
    <n v="9"/>
    <n v="0"/>
    <n v="0"/>
  </r>
  <r>
    <s v="USR_01395"/>
    <s v="A"/>
    <x v="0"/>
    <x v="1"/>
    <x v="2"/>
    <x v="2"/>
    <n v="7"/>
    <n v="0"/>
    <n v="0"/>
  </r>
  <r>
    <s v="USR_01396"/>
    <s v="B"/>
    <x v="1"/>
    <x v="0"/>
    <x v="0"/>
    <x v="0"/>
    <n v="5"/>
    <n v="0"/>
    <n v="0"/>
  </r>
  <r>
    <s v="USR_01397"/>
    <s v="A"/>
    <x v="0"/>
    <x v="3"/>
    <x v="0"/>
    <x v="0"/>
    <n v="7"/>
    <n v="0"/>
    <n v="0"/>
  </r>
  <r>
    <s v="USR_01398"/>
    <s v="A"/>
    <x v="0"/>
    <x v="0"/>
    <x v="0"/>
    <x v="0"/>
    <n v="11"/>
    <n v="0"/>
    <n v="0"/>
  </r>
  <r>
    <s v="USR_01399"/>
    <s v="B"/>
    <x v="1"/>
    <x v="1"/>
    <x v="0"/>
    <x v="0"/>
    <n v="4"/>
    <n v="0"/>
    <n v="0"/>
  </r>
  <r>
    <s v="USR_01400"/>
    <s v="B"/>
    <x v="1"/>
    <x v="0"/>
    <x v="0"/>
    <x v="0"/>
    <n v="2"/>
    <n v="0"/>
    <n v="0"/>
  </r>
  <r>
    <s v="USR_01401"/>
    <s v="A"/>
    <x v="0"/>
    <x v="1"/>
    <x v="1"/>
    <x v="1"/>
    <n v="10"/>
    <n v="0"/>
    <n v="0"/>
  </r>
  <r>
    <s v="USR_01402"/>
    <s v="A"/>
    <x v="0"/>
    <x v="3"/>
    <x v="0"/>
    <x v="0"/>
    <n v="1"/>
    <n v="0"/>
    <n v="0"/>
  </r>
  <r>
    <s v="USR_01403"/>
    <s v="A"/>
    <x v="0"/>
    <x v="0"/>
    <x v="0"/>
    <x v="0"/>
    <n v="5"/>
    <n v="0"/>
    <n v="0"/>
  </r>
  <r>
    <s v="USR_01404"/>
    <s v="B"/>
    <x v="1"/>
    <x v="3"/>
    <x v="0"/>
    <x v="0"/>
    <n v="8"/>
    <n v="0"/>
    <n v="0"/>
  </r>
  <r>
    <s v="USR_01405"/>
    <s v="B"/>
    <x v="1"/>
    <x v="0"/>
    <x v="0"/>
    <x v="0"/>
    <n v="2"/>
    <n v="0"/>
    <n v="0"/>
  </r>
  <r>
    <s v="USR_01406"/>
    <s v="B"/>
    <x v="1"/>
    <x v="1"/>
    <x v="0"/>
    <x v="0"/>
    <n v="9"/>
    <n v="0"/>
    <n v="0"/>
  </r>
  <r>
    <s v="USR_01407"/>
    <s v="B"/>
    <x v="1"/>
    <x v="1"/>
    <x v="0"/>
    <x v="0"/>
    <n v="6"/>
    <n v="0"/>
    <n v="0"/>
  </r>
  <r>
    <s v="USR_01408"/>
    <s v="B"/>
    <x v="1"/>
    <x v="3"/>
    <x v="0"/>
    <x v="0"/>
    <n v="7"/>
    <n v="0"/>
    <n v="0"/>
  </r>
  <r>
    <s v="USR_01409"/>
    <s v="B"/>
    <x v="1"/>
    <x v="1"/>
    <x v="0"/>
    <x v="0"/>
    <n v="7"/>
    <n v="0"/>
    <n v="0"/>
  </r>
  <r>
    <s v="USR_01410"/>
    <s v="B"/>
    <x v="1"/>
    <x v="3"/>
    <x v="1"/>
    <x v="1"/>
    <n v="9"/>
    <n v="0"/>
    <n v="0"/>
  </r>
  <r>
    <s v="USR_01411"/>
    <s v="A"/>
    <x v="0"/>
    <x v="3"/>
    <x v="0"/>
    <x v="0"/>
    <n v="11"/>
    <n v="0"/>
    <n v="0"/>
  </r>
  <r>
    <s v="USR_01412"/>
    <s v="A"/>
    <x v="0"/>
    <x v="3"/>
    <x v="0"/>
    <x v="0"/>
    <n v="7"/>
    <n v="0"/>
    <n v="0"/>
  </r>
  <r>
    <s v="USR_01413"/>
    <s v="A"/>
    <x v="0"/>
    <x v="3"/>
    <x v="0"/>
    <x v="0"/>
    <n v="7"/>
    <n v="0"/>
    <n v="0"/>
  </r>
  <r>
    <s v="USR_01414"/>
    <s v="A"/>
    <x v="0"/>
    <x v="2"/>
    <x v="0"/>
    <x v="0"/>
    <n v="3"/>
    <n v="0"/>
    <n v="0"/>
  </r>
  <r>
    <s v="USR_01415"/>
    <s v="B"/>
    <x v="1"/>
    <x v="2"/>
    <x v="0"/>
    <x v="0"/>
    <n v="9"/>
    <n v="0"/>
    <n v="0"/>
  </r>
  <r>
    <s v="USR_01416"/>
    <s v="control"/>
    <x v="0"/>
    <x v="3"/>
    <x v="0"/>
    <x v="0"/>
    <n v="2"/>
    <n v="0"/>
    <n v="0"/>
  </r>
  <r>
    <s v="USR_01417"/>
    <s v="A"/>
    <x v="0"/>
    <x v="1"/>
    <x v="0"/>
    <x v="0"/>
    <n v="6"/>
    <n v="0"/>
    <n v="0"/>
  </r>
  <r>
    <s v="USR_01418"/>
    <s v="A"/>
    <x v="0"/>
    <x v="3"/>
    <x v="1"/>
    <x v="1"/>
    <n v="8"/>
    <n v="0"/>
    <n v="0"/>
  </r>
  <r>
    <s v="USR_01419"/>
    <s v="A"/>
    <x v="0"/>
    <x v="1"/>
    <x v="1"/>
    <x v="1"/>
    <n v="3"/>
    <n v="0"/>
    <n v="0"/>
  </r>
  <r>
    <s v="USR_01420"/>
    <s v="control"/>
    <x v="0"/>
    <x v="0"/>
    <x v="0"/>
    <x v="0"/>
    <n v="5"/>
    <n v="0"/>
    <n v="0"/>
  </r>
  <r>
    <s v="USR_01421"/>
    <s v="A"/>
    <x v="0"/>
    <x v="2"/>
    <x v="2"/>
    <x v="2"/>
    <n v="5"/>
    <n v="0"/>
    <n v="0"/>
  </r>
  <r>
    <s v="USR_01422"/>
    <s v="B"/>
    <x v="1"/>
    <x v="3"/>
    <x v="0"/>
    <x v="0"/>
    <n v="3"/>
    <n v="0"/>
    <n v="0"/>
  </r>
  <r>
    <s v="USR_01423"/>
    <s v="A"/>
    <x v="0"/>
    <x v="0"/>
    <x v="0"/>
    <x v="0"/>
    <n v="3"/>
    <n v="0"/>
    <n v="0"/>
  </r>
  <r>
    <s v="USR_01424"/>
    <s v="A"/>
    <x v="0"/>
    <x v="3"/>
    <x v="0"/>
    <x v="0"/>
    <n v="7"/>
    <n v="0"/>
    <n v="0"/>
  </r>
  <r>
    <s v="USR_01425"/>
    <s v="variant_b"/>
    <x v="1"/>
    <x v="2"/>
    <x v="0"/>
    <x v="0"/>
    <n v="7"/>
    <n v="0"/>
    <n v="0"/>
  </r>
  <r>
    <s v="USR_01426"/>
    <s v="variant_b"/>
    <x v="1"/>
    <x v="3"/>
    <x v="0"/>
    <x v="0"/>
    <n v="7"/>
    <n v="0"/>
    <n v="0"/>
  </r>
  <r>
    <s v="USR_01427"/>
    <s v="A"/>
    <x v="0"/>
    <x v="1"/>
    <x v="1"/>
    <x v="1"/>
    <n v="5"/>
    <n v="0"/>
    <n v="0"/>
  </r>
  <r>
    <s v="USR_01428"/>
    <s v="control"/>
    <x v="0"/>
    <x v="1"/>
    <x v="1"/>
    <x v="1"/>
    <n v="5"/>
    <n v="0"/>
    <n v="0"/>
  </r>
  <r>
    <s v="USR_01429"/>
    <s v="B"/>
    <x v="1"/>
    <x v="1"/>
    <x v="0"/>
    <x v="0"/>
    <n v="7"/>
    <n v="0"/>
    <n v="0"/>
  </r>
  <r>
    <s v="USR_01430"/>
    <s v="B"/>
    <x v="1"/>
    <x v="3"/>
    <x v="1"/>
    <x v="1"/>
    <n v="9"/>
    <n v="0"/>
    <n v="0"/>
  </r>
  <r>
    <s v="USR_01431"/>
    <s v="A"/>
    <x v="0"/>
    <x v="2"/>
    <x v="1"/>
    <x v="1"/>
    <n v="10"/>
    <n v="0"/>
    <n v="0"/>
  </r>
  <r>
    <s v="USR_01432"/>
    <s v="B"/>
    <x v="1"/>
    <x v="3"/>
    <x v="1"/>
    <x v="1"/>
    <n v="12"/>
    <n v="0"/>
    <n v="0"/>
  </r>
  <r>
    <s v="USR_01433"/>
    <s v="B"/>
    <x v="1"/>
    <x v="1"/>
    <x v="0"/>
    <x v="0"/>
    <n v="7"/>
    <n v="0"/>
    <n v="0"/>
  </r>
  <r>
    <s v="USR_01434"/>
    <s v="B"/>
    <x v="1"/>
    <x v="3"/>
    <x v="0"/>
    <x v="0"/>
    <n v="8"/>
    <n v="1"/>
    <n v="1568.24"/>
  </r>
  <r>
    <s v="USR_01435"/>
    <s v="A"/>
    <x v="0"/>
    <x v="3"/>
    <x v="1"/>
    <x v="1"/>
    <n v="10"/>
    <n v="0"/>
    <n v="0"/>
  </r>
  <r>
    <s v="USR_01436"/>
    <s v="A"/>
    <x v="0"/>
    <x v="1"/>
    <x v="1"/>
    <x v="1"/>
    <n v="3"/>
    <n v="0"/>
    <n v="0"/>
  </r>
  <r>
    <s v="USR_01437"/>
    <s v="A"/>
    <x v="0"/>
    <x v="3"/>
    <x v="1"/>
    <x v="1"/>
    <n v="4"/>
    <n v="0"/>
    <n v="0"/>
  </r>
  <r>
    <s v="USR_01438"/>
    <s v="B"/>
    <x v="1"/>
    <x v="3"/>
    <x v="0"/>
    <x v="0"/>
    <n v="7"/>
    <n v="0"/>
    <n v="0"/>
  </r>
  <r>
    <s v="USR_01439"/>
    <s v="A"/>
    <x v="0"/>
    <x v="3"/>
    <x v="0"/>
    <x v="0"/>
    <n v="6"/>
    <n v="0"/>
    <n v="0"/>
  </r>
  <r>
    <s v="USR_01440"/>
    <s v="B"/>
    <x v="1"/>
    <x v="3"/>
    <x v="1"/>
    <x v="1"/>
    <n v="6"/>
    <n v="0"/>
    <n v="0"/>
  </r>
  <r>
    <s v="USR_01441"/>
    <s v="variant_b"/>
    <x v="1"/>
    <x v="1"/>
    <x v="0"/>
    <x v="0"/>
    <n v="5"/>
    <n v="0"/>
    <n v="0"/>
  </r>
  <r>
    <s v="USR_01442"/>
    <s v="A"/>
    <x v="0"/>
    <x v="0"/>
    <x v="0"/>
    <x v="0"/>
    <n v="8"/>
    <n v="0"/>
    <n v="0"/>
  </r>
  <r>
    <s v="USR_01443"/>
    <s v="B"/>
    <x v="1"/>
    <x v="3"/>
    <x v="1"/>
    <x v="1"/>
    <n v="7"/>
    <n v="0"/>
    <n v="0"/>
  </r>
  <r>
    <s v="USR_01444"/>
    <s v="A"/>
    <x v="0"/>
    <x v="3"/>
    <x v="0"/>
    <x v="0"/>
    <n v="8"/>
    <n v="0"/>
    <n v="0"/>
  </r>
  <r>
    <s v="USR_01445"/>
    <s v="B"/>
    <x v="1"/>
    <x v="3"/>
    <x v="1"/>
    <x v="1"/>
    <n v="6"/>
    <n v="0"/>
    <n v="0"/>
  </r>
  <r>
    <s v="USR_01446"/>
    <s v="A"/>
    <x v="0"/>
    <x v="3"/>
    <x v="1"/>
    <x v="1"/>
    <n v="7"/>
    <n v="0"/>
    <n v="0"/>
  </r>
  <r>
    <s v="USR_01447"/>
    <s v="B"/>
    <x v="1"/>
    <x v="1"/>
    <x v="1"/>
    <x v="1"/>
    <n v="6"/>
    <n v="0"/>
    <n v="0"/>
  </r>
  <r>
    <s v="USR_01448"/>
    <s v="B"/>
    <x v="1"/>
    <x v="1"/>
    <x v="0"/>
    <x v="0"/>
    <n v="9"/>
    <n v="0"/>
    <n v="0"/>
  </r>
  <r>
    <s v="USR_01449"/>
    <s v="control"/>
    <x v="0"/>
    <x v="3"/>
    <x v="0"/>
    <x v="0"/>
    <n v="4"/>
    <n v="0"/>
    <n v="0"/>
  </r>
  <r>
    <s v="USR_01450"/>
    <s v="B"/>
    <x v="1"/>
    <x v="3"/>
    <x v="1"/>
    <x v="1"/>
    <n v="6"/>
    <n v="0"/>
    <n v="0"/>
  </r>
  <r>
    <s v="USR_01451"/>
    <s v="B"/>
    <x v="1"/>
    <x v="3"/>
    <x v="0"/>
    <x v="0"/>
    <n v="9"/>
    <n v="1"/>
    <n v="1461.41"/>
  </r>
  <r>
    <s v="USR_01452"/>
    <s v="B"/>
    <x v="1"/>
    <x v="0"/>
    <x v="2"/>
    <x v="2"/>
    <n v="5"/>
    <n v="0"/>
    <n v="0"/>
  </r>
  <r>
    <s v="USR_01453"/>
    <s v="B"/>
    <x v="1"/>
    <x v="2"/>
    <x v="0"/>
    <x v="0"/>
    <n v="10"/>
    <n v="0"/>
    <n v="0"/>
  </r>
  <r>
    <s v="USR_01454"/>
    <s v="B"/>
    <x v="1"/>
    <x v="3"/>
    <x v="0"/>
    <x v="0"/>
    <n v="6"/>
    <n v="0"/>
    <n v="0"/>
  </r>
  <r>
    <s v="USR_01455"/>
    <s v="A"/>
    <x v="0"/>
    <x v="3"/>
    <x v="1"/>
    <x v="1"/>
    <n v="6"/>
    <n v="0"/>
    <n v="0"/>
  </r>
  <r>
    <s v="USR_01456"/>
    <s v="control"/>
    <x v="0"/>
    <x v="0"/>
    <x v="0"/>
    <x v="0"/>
    <n v="6"/>
    <n v="0"/>
    <n v="0"/>
  </r>
  <r>
    <s v="USR_01457"/>
    <s v="B"/>
    <x v="1"/>
    <x v="2"/>
    <x v="1"/>
    <x v="1"/>
    <n v="8"/>
    <n v="0"/>
    <n v="0"/>
  </r>
  <r>
    <s v="USR_01458"/>
    <s v="B"/>
    <x v="1"/>
    <x v="3"/>
    <x v="0"/>
    <x v="0"/>
    <n v="3"/>
    <n v="0"/>
    <n v="0"/>
  </r>
  <r>
    <s v="USR_01459"/>
    <s v="A"/>
    <x v="0"/>
    <x v="3"/>
    <x v="0"/>
    <x v="0"/>
    <n v="5"/>
    <n v="0"/>
    <n v="0"/>
  </r>
  <r>
    <s v="USR_01460"/>
    <s v="B"/>
    <x v="1"/>
    <x v="3"/>
    <x v="0"/>
    <x v="0"/>
    <n v="5"/>
    <n v="0"/>
    <n v="0"/>
  </r>
  <r>
    <s v="USR_01461"/>
    <s v="A"/>
    <x v="0"/>
    <x v="1"/>
    <x v="0"/>
    <x v="0"/>
    <n v="4"/>
    <n v="0"/>
    <n v="0"/>
  </r>
  <r>
    <s v="USR_01462"/>
    <s v="B"/>
    <x v="1"/>
    <x v="3"/>
    <x v="1"/>
    <x v="1"/>
    <n v="6"/>
    <n v="0"/>
    <n v="0"/>
  </r>
  <r>
    <s v="USR_01463"/>
    <s v="A"/>
    <x v="0"/>
    <x v="3"/>
    <x v="1"/>
    <x v="1"/>
    <n v="6"/>
    <n v="0"/>
    <n v="0"/>
  </r>
  <r>
    <s v="USR_01464"/>
    <s v="B"/>
    <x v="1"/>
    <x v="1"/>
    <x v="0"/>
    <x v="0"/>
    <n v="4"/>
    <n v="0"/>
    <n v="0"/>
  </r>
  <r>
    <s v="USR_01465"/>
    <s v="variant_b"/>
    <x v="1"/>
    <x v="3"/>
    <x v="1"/>
    <x v="1"/>
    <n v="5"/>
    <n v="0"/>
    <n v="0"/>
  </r>
  <r>
    <s v="USR_01466"/>
    <s v="A"/>
    <x v="0"/>
    <x v="0"/>
    <x v="0"/>
    <x v="0"/>
    <n v="4"/>
    <n v="0"/>
    <n v="0"/>
  </r>
  <r>
    <s v="USR_01467"/>
    <s v="variant_b"/>
    <x v="1"/>
    <x v="3"/>
    <x v="1"/>
    <x v="1"/>
    <n v="6"/>
    <n v="0"/>
    <n v="0"/>
  </r>
  <r>
    <s v="USR_01468"/>
    <s v="A"/>
    <x v="0"/>
    <x v="3"/>
    <x v="0"/>
    <x v="0"/>
    <n v="9"/>
    <n v="0"/>
    <n v="0"/>
  </r>
  <r>
    <s v="USR_01469"/>
    <s v="B"/>
    <x v="1"/>
    <x v="1"/>
    <x v="1"/>
    <x v="1"/>
    <n v="5"/>
    <n v="1"/>
    <n v="2881.95"/>
  </r>
  <r>
    <s v="USR_01470"/>
    <s v="B"/>
    <x v="1"/>
    <x v="3"/>
    <x v="1"/>
    <x v="1"/>
    <n v="3"/>
    <n v="0"/>
    <n v="0"/>
  </r>
  <r>
    <s v="USR_01471"/>
    <s v="B"/>
    <x v="1"/>
    <x v="2"/>
    <x v="1"/>
    <x v="1"/>
    <n v="8"/>
    <n v="0"/>
    <n v="0"/>
  </r>
  <r>
    <s v="USR_01472"/>
    <s v="B"/>
    <x v="1"/>
    <x v="1"/>
    <x v="0"/>
    <x v="0"/>
    <n v="5"/>
    <n v="0"/>
    <n v="0"/>
  </r>
  <r>
    <s v="USR_01473"/>
    <s v="B"/>
    <x v="1"/>
    <x v="3"/>
    <x v="1"/>
    <x v="1"/>
    <n v="1"/>
    <n v="0"/>
    <n v="0"/>
  </r>
  <r>
    <s v="USR_01474"/>
    <s v="A"/>
    <x v="0"/>
    <x v="1"/>
    <x v="1"/>
    <x v="1"/>
    <n v="4"/>
    <n v="0"/>
    <n v="0"/>
  </r>
  <r>
    <s v="USR_01475"/>
    <s v="A"/>
    <x v="0"/>
    <x v="3"/>
    <x v="1"/>
    <x v="1"/>
    <n v="5"/>
    <n v="0"/>
    <n v="0"/>
  </r>
  <r>
    <s v="USR_01476"/>
    <s v="B"/>
    <x v="1"/>
    <x v="0"/>
    <x v="1"/>
    <x v="1"/>
    <n v="10"/>
    <n v="1"/>
    <n v="6225.87"/>
  </r>
  <r>
    <s v="USR_01477"/>
    <s v="B"/>
    <x v="1"/>
    <x v="3"/>
    <x v="0"/>
    <x v="0"/>
    <n v="8"/>
    <n v="0"/>
    <n v="0"/>
  </r>
  <r>
    <s v="USR_01478"/>
    <s v="B"/>
    <x v="1"/>
    <x v="1"/>
    <x v="0"/>
    <x v="0"/>
    <n v="3"/>
    <n v="0"/>
    <n v="0"/>
  </r>
  <r>
    <s v="USR_01479"/>
    <s v="B"/>
    <x v="1"/>
    <x v="3"/>
    <x v="1"/>
    <x v="1"/>
    <n v="5"/>
    <n v="0"/>
    <n v="0"/>
  </r>
  <r>
    <s v="USR_01480"/>
    <s v="A"/>
    <x v="0"/>
    <x v="1"/>
    <x v="0"/>
    <x v="0"/>
    <n v="6"/>
    <n v="0"/>
    <n v="0"/>
  </r>
  <r>
    <s v="USR_01481"/>
    <s v="B"/>
    <x v="1"/>
    <x v="0"/>
    <x v="1"/>
    <x v="1"/>
    <n v="9"/>
    <n v="0"/>
    <n v="0"/>
  </r>
  <r>
    <s v="USR_01482"/>
    <s v="A"/>
    <x v="0"/>
    <x v="0"/>
    <x v="0"/>
    <x v="0"/>
    <n v="7"/>
    <n v="0"/>
    <n v="0"/>
  </r>
  <r>
    <s v="USR_01483"/>
    <s v="B"/>
    <x v="1"/>
    <x v="3"/>
    <x v="1"/>
    <x v="1"/>
    <n v="4"/>
    <n v="0"/>
    <n v="0"/>
  </r>
  <r>
    <s v="USR_01484"/>
    <s v="A"/>
    <x v="0"/>
    <x v="3"/>
    <x v="0"/>
    <x v="0"/>
    <n v="7"/>
    <n v="0"/>
    <n v="0"/>
  </r>
  <r>
    <s v="USR_01485"/>
    <s v="A"/>
    <x v="0"/>
    <x v="0"/>
    <x v="0"/>
    <x v="0"/>
    <n v="6"/>
    <n v="0"/>
    <n v="0"/>
  </r>
  <r>
    <s v="USR_01486"/>
    <s v="A"/>
    <x v="0"/>
    <x v="2"/>
    <x v="0"/>
    <x v="0"/>
    <n v="7"/>
    <n v="0"/>
    <n v="0"/>
  </r>
  <r>
    <s v="USR_01487"/>
    <s v="A"/>
    <x v="0"/>
    <x v="3"/>
    <x v="1"/>
    <x v="1"/>
    <n v="6"/>
    <n v="0"/>
    <n v="0"/>
  </r>
  <r>
    <s v="USR_01488"/>
    <s v="B"/>
    <x v="1"/>
    <x v="1"/>
    <x v="0"/>
    <x v="0"/>
    <n v="11"/>
    <n v="0"/>
    <n v="0"/>
  </r>
  <r>
    <s v="USR_01489"/>
    <s v="A"/>
    <x v="0"/>
    <x v="3"/>
    <x v="0"/>
    <x v="0"/>
    <n v="6"/>
    <n v="0"/>
    <n v="0"/>
  </r>
  <r>
    <s v="USR_01490"/>
    <s v="A"/>
    <x v="0"/>
    <x v="0"/>
    <x v="1"/>
    <x v="1"/>
    <n v="7"/>
    <n v="0"/>
    <n v="0"/>
  </r>
  <r>
    <s v="USR_01491"/>
    <s v="A"/>
    <x v="0"/>
    <x v="3"/>
    <x v="1"/>
    <x v="1"/>
    <n v="2"/>
    <n v="0"/>
    <n v="0"/>
  </r>
  <r>
    <s v="USR_01492"/>
    <s v="A"/>
    <x v="0"/>
    <x v="3"/>
    <x v="0"/>
    <x v="0"/>
    <n v="6"/>
    <n v="0"/>
    <n v="0"/>
  </r>
  <r>
    <s v="USR_01493"/>
    <s v="A"/>
    <x v="0"/>
    <x v="1"/>
    <x v="0"/>
    <x v="0"/>
    <n v="5"/>
    <n v="0"/>
    <n v="0"/>
  </r>
  <r>
    <s v="USR_01494"/>
    <s v="A"/>
    <x v="0"/>
    <x v="3"/>
    <x v="0"/>
    <x v="0"/>
    <n v="6"/>
    <n v="0"/>
    <n v="0"/>
  </r>
  <r>
    <s v="USR_01495"/>
    <s v="B"/>
    <x v="1"/>
    <x v="1"/>
    <x v="1"/>
    <x v="1"/>
    <n v="6"/>
    <n v="0"/>
    <n v="0"/>
  </r>
  <r>
    <s v="USR_01496"/>
    <s v="B"/>
    <x v="1"/>
    <x v="1"/>
    <x v="0"/>
    <x v="0"/>
    <n v="6"/>
    <n v="0"/>
    <n v="0"/>
  </r>
  <r>
    <s v="USR_01497"/>
    <s v="B"/>
    <x v="1"/>
    <x v="3"/>
    <x v="0"/>
    <x v="0"/>
    <n v="10"/>
    <n v="1"/>
    <n v="1375.52"/>
  </r>
  <r>
    <s v="USR_01498"/>
    <s v="B"/>
    <x v="1"/>
    <x v="3"/>
    <x v="0"/>
    <x v="0"/>
    <n v="9"/>
    <n v="0"/>
    <n v="0"/>
  </r>
  <r>
    <s v="USR_01499"/>
    <s v="A"/>
    <x v="0"/>
    <x v="1"/>
    <x v="0"/>
    <x v="0"/>
    <n v="7"/>
    <n v="0"/>
    <n v="0"/>
  </r>
  <r>
    <s v="USR_01500"/>
    <s v="B"/>
    <x v="1"/>
    <x v="3"/>
    <x v="1"/>
    <x v="1"/>
    <n v="13"/>
    <n v="0"/>
    <n v="0"/>
  </r>
  <r>
    <s v="USR_01501"/>
    <s v="B"/>
    <x v="1"/>
    <x v="1"/>
    <x v="0"/>
    <x v="0"/>
    <n v="6"/>
    <n v="0"/>
    <n v="0"/>
  </r>
  <r>
    <s v="USR_01502"/>
    <s v="B"/>
    <x v="1"/>
    <x v="0"/>
    <x v="0"/>
    <x v="0"/>
    <n v="5"/>
    <n v="0"/>
    <n v="0"/>
  </r>
  <r>
    <s v="USR_01503"/>
    <s v="A"/>
    <x v="0"/>
    <x v="1"/>
    <x v="0"/>
    <x v="0"/>
    <n v="6"/>
    <n v="1"/>
    <n v="2303.9699999999998"/>
  </r>
  <r>
    <s v="USR_01504"/>
    <s v="A"/>
    <x v="0"/>
    <x v="3"/>
    <x v="0"/>
    <x v="0"/>
    <n v="13"/>
    <n v="0"/>
    <n v="0"/>
  </r>
  <r>
    <s v="USR_01505"/>
    <s v="A"/>
    <x v="0"/>
    <x v="3"/>
    <x v="0"/>
    <x v="0"/>
    <n v="5"/>
    <n v="0"/>
    <n v="0"/>
  </r>
  <r>
    <s v="USR_01506"/>
    <s v="A"/>
    <x v="0"/>
    <x v="3"/>
    <x v="1"/>
    <x v="1"/>
    <n v="8"/>
    <n v="0"/>
    <n v="0"/>
  </r>
  <r>
    <s v="USR_01507"/>
    <s v="B"/>
    <x v="1"/>
    <x v="3"/>
    <x v="1"/>
    <x v="1"/>
    <n v="6"/>
    <n v="0"/>
    <n v="0"/>
  </r>
  <r>
    <s v="USR_01508"/>
    <s v="B"/>
    <x v="1"/>
    <x v="3"/>
    <x v="1"/>
    <x v="1"/>
    <n v="3"/>
    <n v="0"/>
    <n v="0"/>
  </r>
  <r>
    <s v="USR_01509"/>
    <s v="B"/>
    <x v="1"/>
    <x v="1"/>
    <x v="0"/>
    <x v="0"/>
    <n v="3"/>
    <n v="0"/>
    <n v="0"/>
  </r>
  <r>
    <s v="USR_01510"/>
    <s v="B"/>
    <x v="1"/>
    <x v="3"/>
    <x v="1"/>
    <x v="1"/>
    <n v="4"/>
    <n v="0"/>
    <n v="0"/>
  </r>
  <r>
    <s v="USR_01511"/>
    <s v="B"/>
    <x v="1"/>
    <x v="3"/>
    <x v="0"/>
    <x v="0"/>
    <n v="2"/>
    <n v="0"/>
    <n v="0"/>
  </r>
  <r>
    <s v="USR_01512"/>
    <s v="B"/>
    <x v="1"/>
    <x v="3"/>
    <x v="1"/>
    <x v="1"/>
    <n v="7"/>
    <n v="1"/>
    <n v="1481.06"/>
  </r>
  <r>
    <s v="USR_01513"/>
    <s v="control"/>
    <x v="0"/>
    <x v="1"/>
    <x v="0"/>
    <x v="0"/>
    <n v="10"/>
    <n v="0"/>
    <n v="0"/>
  </r>
  <r>
    <s v="USR_01514"/>
    <s v="A"/>
    <x v="0"/>
    <x v="3"/>
    <x v="1"/>
    <x v="1"/>
    <n v="9"/>
    <n v="0"/>
    <n v="0"/>
  </r>
  <r>
    <s v="USR_01515"/>
    <s v="A"/>
    <x v="0"/>
    <x v="1"/>
    <x v="0"/>
    <x v="0"/>
    <n v="5"/>
    <n v="0"/>
    <n v="0"/>
  </r>
  <r>
    <s v="USR_01516"/>
    <s v="A"/>
    <x v="0"/>
    <x v="3"/>
    <x v="0"/>
    <x v="0"/>
    <n v="8"/>
    <n v="0"/>
    <n v="0"/>
  </r>
  <r>
    <s v="USR_01517"/>
    <s v="B"/>
    <x v="1"/>
    <x v="0"/>
    <x v="0"/>
    <x v="0"/>
    <n v="3"/>
    <n v="0"/>
    <n v="0"/>
  </r>
  <r>
    <s v="USR_01518"/>
    <s v="B"/>
    <x v="1"/>
    <x v="0"/>
    <x v="1"/>
    <x v="1"/>
    <n v="11"/>
    <n v="0"/>
    <n v="0"/>
  </r>
  <r>
    <s v="USR_01519"/>
    <s v="A"/>
    <x v="0"/>
    <x v="3"/>
    <x v="2"/>
    <x v="2"/>
    <n v="6"/>
    <n v="0"/>
    <n v="0"/>
  </r>
  <r>
    <s v="USR_01520"/>
    <s v="control"/>
    <x v="0"/>
    <x v="3"/>
    <x v="0"/>
    <x v="0"/>
    <n v="3"/>
    <n v="0"/>
    <n v="0"/>
  </r>
  <r>
    <s v="USR_01521"/>
    <s v="A"/>
    <x v="0"/>
    <x v="3"/>
    <x v="0"/>
    <x v="0"/>
    <n v="2"/>
    <n v="0"/>
    <n v="0"/>
  </r>
  <r>
    <s v="USR_01522"/>
    <s v="control"/>
    <x v="0"/>
    <x v="3"/>
    <x v="0"/>
    <x v="0"/>
    <n v="6"/>
    <n v="0"/>
    <n v="0"/>
  </r>
  <r>
    <s v="USR_01523"/>
    <s v="A"/>
    <x v="0"/>
    <x v="1"/>
    <x v="1"/>
    <x v="1"/>
    <n v="10"/>
    <n v="0"/>
    <n v="0"/>
  </r>
  <r>
    <s v="USR_01524"/>
    <s v="A"/>
    <x v="0"/>
    <x v="0"/>
    <x v="0"/>
    <x v="0"/>
    <n v="7"/>
    <n v="1"/>
    <n v="5054.3500000000004"/>
  </r>
  <r>
    <s v="USR_01525"/>
    <s v="B"/>
    <x v="1"/>
    <x v="1"/>
    <x v="0"/>
    <x v="0"/>
    <n v="5"/>
    <n v="1"/>
    <n v="2424.9899999999998"/>
  </r>
  <r>
    <s v="USR_01526"/>
    <s v="A"/>
    <x v="0"/>
    <x v="0"/>
    <x v="2"/>
    <x v="2"/>
    <n v="10"/>
    <n v="0"/>
    <n v="0"/>
  </r>
  <r>
    <s v="USR_01527"/>
    <s v="A"/>
    <x v="0"/>
    <x v="3"/>
    <x v="0"/>
    <x v="0"/>
    <n v="5"/>
    <n v="0"/>
    <n v="0"/>
  </r>
  <r>
    <s v="USR_01528"/>
    <s v="A"/>
    <x v="0"/>
    <x v="3"/>
    <x v="0"/>
    <x v="0"/>
    <n v="3"/>
    <n v="0"/>
    <n v="0"/>
  </r>
  <r>
    <s v="USR_01529"/>
    <s v="B"/>
    <x v="1"/>
    <x v="1"/>
    <x v="0"/>
    <x v="0"/>
    <n v="3"/>
    <n v="0"/>
    <n v="0"/>
  </r>
  <r>
    <s v="USR_01530"/>
    <s v="B"/>
    <x v="1"/>
    <x v="3"/>
    <x v="0"/>
    <x v="0"/>
    <n v="4"/>
    <n v="1"/>
    <n v="1272.78"/>
  </r>
  <r>
    <s v="USR_01531"/>
    <s v="A"/>
    <x v="0"/>
    <x v="1"/>
    <x v="1"/>
    <x v="1"/>
    <n v="2"/>
    <n v="1"/>
    <n v="2281.4299999999998"/>
  </r>
  <r>
    <s v="USR_01532"/>
    <s v="B"/>
    <x v="1"/>
    <x v="3"/>
    <x v="1"/>
    <x v="1"/>
    <n v="5"/>
    <n v="0"/>
    <n v="0"/>
  </r>
  <r>
    <s v="USR_01533"/>
    <s v="B"/>
    <x v="1"/>
    <x v="3"/>
    <x v="1"/>
    <x v="1"/>
    <n v="4"/>
    <n v="1"/>
    <n v="1424.66"/>
  </r>
  <r>
    <s v="USR_01534"/>
    <s v="A"/>
    <x v="0"/>
    <x v="2"/>
    <x v="0"/>
    <x v="0"/>
    <n v="7"/>
    <n v="0"/>
    <n v="0"/>
  </r>
  <r>
    <s v="USR_01535"/>
    <s v="A"/>
    <x v="0"/>
    <x v="3"/>
    <x v="0"/>
    <x v="0"/>
    <n v="7"/>
    <n v="1"/>
    <n v="817.4"/>
  </r>
  <r>
    <s v="USR_01536"/>
    <s v="A"/>
    <x v="0"/>
    <x v="2"/>
    <x v="0"/>
    <x v="0"/>
    <n v="7"/>
    <n v="0"/>
    <n v="0"/>
  </r>
  <r>
    <s v="USR_01537"/>
    <s v="A"/>
    <x v="0"/>
    <x v="2"/>
    <x v="1"/>
    <x v="1"/>
    <n v="9"/>
    <n v="1"/>
    <n v="1108.57"/>
  </r>
  <r>
    <s v="USR_01538"/>
    <s v="B"/>
    <x v="1"/>
    <x v="0"/>
    <x v="0"/>
    <x v="0"/>
    <n v="5"/>
    <n v="0"/>
    <n v="0"/>
  </r>
  <r>
    <s v="USR_01539"/>
    <s v="A"/>
    <x v="0"/>
    <x v="1"/>
    <x v="0"/>
    <x v="0"/>
    <n v="9"/>
    <n v="0"/>
    <n v="0"/>
  </r>
  <r>
    <s v="USR_01540"/>
    <s v="B"/>
    <x v="1"/>
    <x v="1"/>
    <x v="1"/>
    <x v="1"/>
    <n v="6"/>
    <n v="0"/>
    <n v="0"/>
  </r>
  <r>
    <s v="USR_01541"/>
    <s v="B"/>
    <x v="1"/>
    <x v="0"/>
    <x v="0"/>
    <x v="0"/>
    <n v="5"/>
    <n v="1"/>
    <n v="5708.06"/>
  </r>
  <r>
    <s v="USR_01542"/>
    <s v="A"/>
    <x v="0"/>
    <x v="3"/>
    <x v="1"/>
    <x v="1"/>
    <n v="6"/>
    <n v="0"/>
    <n v="0"/>
  </r>
  <r>
    <s v="USR_01543"/>
    <s v="B"/>
    <x v="1"/>
    <x v="1"/>
    <x v="1"/>
    <x v="1"/>
    <n v="8"/>
    <n v="0"/>
    <n v="0"/>
  </r>
  <r>
    <s v="USR_01544"/>
    <s v="A"/>
    <x v="0"/>
    <x v="1"/>
    <x v="0"/>
    <x v="0"/>
    <n v="12"/>
    <n v="1"/>
    <n v="3118.24"/>
  </r>
  <r>
    <s v="USR_01545"/>
    <s v="variant_b"/>
    <x v="1"/>
    <x v="3"/>
    <x v="0"/>
    <x v="0"/>
    <n v="4"/>
    <n v="0"/>
    <n v="0"/>
  </r>
  <r>
    <s v="USR_01546"/>
    <s v="B"/>
    <x v="1"/>
    <x v="1"/>
    <x v="0"/>
    <x v="0"/>
    <n v="3"/>
    <n v="0"/>
    <n v="0"/>
  </r>
  <r>
    <s v="USR_01547"/>
    <s v="B"/>
    <x v="1"/>
    <x v="3"/>
    <x v="1"/>
    <x v="1"/>
    <n v="7"/>
    <n v="0"/>
    <n v="0"/>
  </r>
  <r>
    <s v="USR_01548"/>
    <s v="B"/>
    <x v="1"/>
    <x v="1"/>
    <x v="0"/>
    <x v="0"/>
    <n v="8"/>
    <n v="1"/>
    <n v="2154.96"/>
  </r>
  <r>
    <s v="USR_01549"/>
    <s v="A"/>
    <x v="0"/>
    <x v="0"/>
    <x v="0"/>
    <x v="0"/>
    <n v="6"/>
    <n v="1"/>
    <n v="6151.15"/>
  </r>
  <r>
    <s v="USR_01550"/>
    <s v="B"/>
    <x v="1"/>
    <x v="3"/>
    <x v="0"/>
    <x v="0"/>
    <n v="6"/>
    <n v="0"/>
    <n v="0"/>
  </r>
  <r>
    <s v="USR_01551"/>
    <s v="control"/>
    <x v="0"/>
    <x v="2"/>
    <x v="0"/>
    <x v="0"/>
    <n v="4"/>
    <n v="0"/>
    <n v="0"/>
  </r>
  <r>
    <s v="USR_01552"/>
    <s v="B"/>
    <x v="1"/>
    <x v="1"/>
    <x v="1"/>
    <x v="1"/>
    <n v="5"/>
    <n v="0"/>
    <n v="0"/>
  </r>
  <r>
    <s v="USR_01553"/>
    <s v="B"/>
    <x v="1"/>
    <x v="0"/>
    <x v="1"/>
    <x v="1"/>
    <n v="15"/>
    <n v="0"/>
    <n v="0"/>
  </r>
  <r>
    <s v="USR_01554"/>
    <s v="B"/>
    <x v="1"/>
    <x v="1"/>
    <x v="0"/>
    <x v="0"/>
    <n v="7"/>
    <n v="0"/>
    <n v="0"/>
  </r>
  <r>
    <s v="USR_01555"/>
    <s v="A"/>
    <x v="0"/>
    <x v="0"/>
    <x v="1"/>
    <x v="1"/>
    <n v="2"/>
    <n v="0"/>
    <n v="0"/>
  </r>
  <r>
    <s v="USR_01556"/>
    <s v="A"/>
    <x v="0"/>
    <x v="3"/>
    <x v="1"/>
    <x v="1"/>
    <n v="3"/>
    <n v="0"/>
    <n v="0"/>
  </r>
  <r>
    <s v="USR_01557"/>
    <s v="B"/>
    <x v="1"/>
    <x v="0"/>
    <x v="0"/>
    <x v="0"/>
    <n v="7"/>
    <n v="0"/>
    <n v="0"/>
  </r>
  <r>
    <s v="USR_01558"/>
    <s v="A"/>
    <x v="0"/>
    <x v="3"/>
    <x v="0"/>
    <x v="0"/>
    <n v="4"/>
    <n v="1"/>
    <n v="1494.13"/>
  </r>
  <r>
    <s v="USR_01559"/>
    <s v="B"/>
    <x v="1"/>
    <x v="0"/>
    <x v="1"/>
    <x v="1"/>
    <n v="5"/>
    <n v="0"/>
    <n v="0"/>
  </r>
  <r>
    <s v="USR_01560"/>
    <s v="B"/>
    <x v="1"/>
    <x v="2"/>
    <x v="1"/>
    <x v="1"/>
    <n v="6"/>
    <n v="0"/>
    <n v="0"/>
  </r>
  <r>
    <s v="USR_01561"/>
    <s v="A"/>
    <x v="0"/>
    <x v="3"/>
    <x v="0"/>
    <x v="0"/>
    <n v="5"/>
    <n v="0"/>
    <n v="0"/>
  </r>
  <r>
    <s v="USR_01562"/>
    <s v="A"/>
    <x v="0"/>
    <x v="3"/>
    <x v="0"/>
    <x v="0"/>
    <n v="8"/>
    <n v="0"/>
    <n v="0"/>
  </r>
  <r>
    <s v="USR_01563"/>
    <s v="B"/>
    <x v="1"/>
    <x v="1"/>
    <x v="0"/>
    <x v="0"/>
    <n v="9"/>
    <n v="0"/>
    <n v="0"/>
  </r>
  <r>
    <s v="USR_01564"/>
    <s v="A"/>
    <x v="0"/>
    <x v="3"/>
    <x v="1"/>
    <x v="1"/>
    <n v="9"/>
    <n v="0"/>
    <n v="0"/>
  </r>
  <r>
    <s v="USR_01565"/>
    <s v="B"/>
    <x v="1"/>
    <x v="0"/>
    <x v="0"/>
    <x v="0"/>
    <n v="5"/>
    <n v="0"/>
    <n v="0"/>
  </r>
  <r>
    <s v="USR_01566"/>
    <s v="A"/>
    <x v="0"/>
    <x v="3"/>
    <x v="0"/>
    <x v="0"/>
    <n v="7"/>
    <n v="0"/>
    <n v="0"/>
  </r>
  <r>
    <s v="USR_01567"/>
    <s v="B"/>
    <x v="1"/>
    <x v="3"/>
    <x v="1"/>
    <x v="1"/>
    <n v="8"/>
    <n v="0"/>
    <n v="0"/>
  </r>
  <r>
    <s v="USR_01568"/>
    <s v="A"/>
    <x v="0"/>
    <x v="2"/>
    <x v="1"/>
    <x v="1"/>
    <n v="6"/>
    <n v="1"/>
    <n v="1229.3599999999999"/>
  </r>
  <r>
    <s v="USR_01569"/>
    <s v="B"/>
    <x v="1"/>
    <x v="1"/>
    <x v="0"/>
    <x v="0"/>
    <n v="4"/>
    <n v="0"/>
    <n v="0"/>
  </r>
  <r>
    <s v="USR_01570"/>
    <s v="A"/>
    <x v="0"/>
    <x v="0"/>
    <x v="0"/>
    <x v="0"/>
    <n v="9"/>
    <n v="0"/>
    <n v="0"/>
  </r>
  <r>
    <s v="USR_01571"/>
    <s v="B"/>
    <x v="1"/>
    <x v="3"/>
    <x v="1"/>
    <x v="1"/>
    <n v="6"/>
    <n v="0"/>
    <n v="0"/>
  </r>
  <r>
    <s v="USR_01572"/>
    <s v="A"/>
    <x v="0"/>
    <x v="1"/>
    <x v="0"/>
    <x v="0"/>
    <n v="10"/>
    <n v="0"/>
    <n v="0"/>
  </r>
  <r>
    <s v="USR_01573"/>
    <s v="B"/>
    <x v="1"/>
    <x v="1"/>
    <x v="0"/>
    <x v="0"/>
    <n v="6"/>
    <n v="0"/>
    <n v="0"/>
  </r>
  <r>
    <s v="USR_01574"/>
    <s v="B"/>
    <x v="1"/>
    <x v="1"/>
    <x v="0"/>
    <x v="0"/>
    <n v="4"/>
    <n v="0"/>
    <n v="0"/>
  </r>
  <r>
    <s v="USR_01575"/>
    <s v="A"/>
    <x v="0"/>
    <x v="1"/>
    <x v="0"/>
    <x v="0"/>
    <n v="6"/>
    <n v="0"/>
    <n v="0"/>
  </r>
  <r>
    <s v="USR_01576"/>
    <s v="A"/>
    <x v="0"/>
    <x v="1"/>
    <x v="1"/>
    <x v="1"/>
    <n v="6"/>
    <n v="0"/>
    <n v="0"/>
  </r>
  <r>
    <s v="USR_01577"/>
    <s v="A"/>
    <x v="0"/>
    <x v="1"/>
    <x v="1"/>
    <x v="1"/>
    <n v="5"/>
    <n v="0"/>
    <n v="0"/>
  </r>
  <r>
    <s v="USR_01578"/>
    <s v="B"/>
    <x v="1"/>
    <x v="3"/>
    <x v="0"/>
    <x v="0"/>
    <n v="4"/>
    <n v="0"/>
    <n v="0"/>
  </r>
  <r>
    <s v="USR_01579"/>
    <s v="B"/>
    <x v="1"/>
    <x v="1"/>
    <x v="0"/>
    <x v="0"/>
    <n v="5"/>
    <n v="0"/>
    <n v="0"/>
  </r>
  <r>
    <s v="USR_01580"/>
    <s v="B"/>
    <x v="1"/>
    <x v="3"/>
    <x v="1"/>
    <x v="1"/>
    <n v="8"/>
    <n v="0"/>
    <n v="0"/>
  </r>
  <r>
    <s v="USR_01581"/>
    <s v="A"/>
    <x v="0"/>
    <x v="1"/>
    <x v="0"/>
    <x v="0"/>
    <n v="9"/>
    <n v="0"/>
    <n v="0"/>
  </r>
  <r>
    <s v="USR_01582"/>
    <s v="A"/>
    <x v="0"/>
    <x v="3"/>
    <x v="1"/>
    <x v="1"/>
    <n v="8"/>
    <n v="0"/>
    <n v="0"/>
  </r>
  <r>
    <s v="USR_01583"/>
    <s v="B"/>
    <x v="1"/>
    <x v="1"/>
    <x v="1"/>
    <x v="1"/>
    <n v="11"/>
    <n v="0"/>
    <n v="0"/>
  </r>
  <r>
    <s v="USR_01584"/>
    <s v="B"/>
    <x v="1"/>
    <x v="1"/>
    <x v="0"/>
    <x v="0"/>
    <n v="6"/>
    <n v="0"/>
    <n v="0"/>
  </r>
  <r>
    <s v="USR_01585"/>
    <s v="variant_b"/>
    <x v="1"/>
    <x v="3"/>
    <x v="1"/>
    <x v="1"/>
    <n v="12"/>
    <n v="0"/>
    <n v="0"/>
  </r>
  <r>
    <s v="USR_01586"/>
    <s v="A"/>
    <x v="0"/>
    <x v="3"/>
    <x v="0"/>
    <x v="0"/>
    <n v="10"/>
    <n v="0"/>
    <n v="0"/>
  </r>
  <r>
    <s v="USR_01587"/>
    <s v="B"/>
    <x v="1"/>
    <x v="3"/>
    <x v="0"/>
    <x v="0"/>
    <n v="8"/>
    <n v="0"/>
    <n v="0"/>
  </r>
  <r>
    <s v="USR_01588"/>
    <s v="A"/>
    <x v="0"/>
    <x v="1"/>
    <x v="0"/>
    <x v="0"/>
    <n v="3"/>
    <n v="0"/>
    <n v="0"/>
  </r>
  <r>
    <s v="USR_01589"/>
    <s v="A"/>
    <x v="0"/>
    <x v="0"/>
    <x v="0"/>
    <x v="0"/>
    <n v="9"/>
    <n v="0"/>
    <n v="0"/>
  </r>
  <r>
    <s v="USR_01590"/>
    <s v="B"/>
    <x v="1"/>
    <x v="3"/>
    <x v="1"/>
    <x v="1"/>
    <n v="6"/>
    <n v="0"/>
    <n v="0"/>
  </r>
  <r>
    <s v="USR_01591"/>
    <s v="B"/>
    <x v="1"/>
    <x v="1"/>
    <x v="0"/>
    <x v="0"/>
    <n v="9"/>
    <n v="0"/>
    <n v="0"/>
  </r>
  <r>
    <s v="USR_01592"/>
    <s v="variant_b"/>
    <x v="1"/>
    <x v="3"/>
    <x v="0"/>
    <x v="0"/>
    <n v="3"/>
    <n v="0"/>
    <n v="0"/>
  </r>
  <r>
    <s v="USR_01593"/>
    <s v="A"/>
    <x v="0"/>
    <x v="1"/>
    <x v="0"/>
    <x v="0"/>
    <n v="6"/>
    <n v="0"/>
    <n v="0"/>
  </r>
  <r>
    <s v="USR_01594"/>
    <s v="A"/>
    <x v="0"/>
    <x v="2"/>
    <x v="0"/>
    <x v="0"/>
    <n v="2"/>
    <n v="0"/>
    <n v="0"/>
  </r>
  <r>
    <s v="USR_01595"/>
    <s v="B"/>
    <x v="1"/>
    <x v="3"/>
    <x v="1"/>
    <x v="1"/>
    <n v="11"/>
    <n v="0"/>
    <n v="0"/>
  </r>
  <r>
    <s v="USR_01596"/>
    <s v="B"/>
    <x v="1"/>
    <x v="1"/>
    <x v="0"/>
    <x v="0"/>
    <n v="5"/>
    <n v="0"/>
    <n v="0"/>
  </r>
  <r>
    <s v="USR_01597"/>
    <s v="A"/>
    <x v="0"/>
    <x v="3"/>
    <x v="0"/>
    <x v="0"/>
    <n v="3"/>
    <n v="1"/>
    <n v="1438.95"/>
  </r>
  <r>
    <s v="USR_01598"/>
    <s v="A"/>
    <x v="0"/>
    <x v="3"/>
    <x v="0"/>
    <x v="0"/>
    <n v="5"/>
    <n v="0"/>
    <n v="0"/>
  </r>
  <r>
    <s v="USR_01599"/>
    <s v="A"/>
    <x v="0"/>
    <x v="3"/>
    <x v="1"/>
    <x v="1"/>
    <n v="3"/>
    <n v="0"/>
    <n v="0"/>
  </r>
  <r>
    <s v="USR_01600"/>
    <s v="B"/>
    <x v="1"/>
    <x v="3"/>
    <x v="1"/>
    <x v="1"/>
    <n v="9"/>
    <n v="0"/>
    <n v="0"/>
  </r>
  <r>
    <s v="USR_01601"/>
    <s v="A"/>
    <x v="0"/>
    <x v="1"/>
    <x v="1"/>
    <x v="1"/>
    <n v="10"/>
    <n v="0"/>
    <n v="0"/>
  </r>
  <r>
    <s v="USR_01602"/>
    <s v="A"/>
    <x v="0"/>
    <x v="1"/>
    <x v="1"/>
    <x v="1"/>
    <n v="7"/>
    <n v="0"/>
    <n v="0"/>
  </r>
  <r>
    <s v="USR_01603"/>
    <s v="A"/>
    <x v="0"/>
    <x v="1"/>
    <x v="0"/>
    <x v="0"/>
    <n v="12"/>
    <n v="0"/>
    <n v="0"/>
  </r>
  <r>
    <s v="USR_01604"/>
    <s v="A"/>
    <x v="0"/>
    <x v="3"/>
    <x v="1"/>
    <x v="1"/>
    <n v="5"/>
    <n v="0"/>
    <n v="0"/>
  </r>
  <r>
    <s v="USR_01605"/>
    <s v="A"/>
    <x v="0"/>
    <x v="3"/>
    <x v="1"/>
    <x v="1"/>
    <n v="6"/>
    <n v="0"/>
    <n v="0"/>
  </r>
  <r>
    <s v="USR_01606"/>
    <s v="B"/>
    <x v="1"/>
    <x v="1"/>
    <x v="0"/>
    <x v="0"/>
    <n v="3"/>
    <n v="1"/>
    <n v="2630.66"/>
  </r>
  <r>
    <s v="USR_01607"/>
    <s v="A"/>
    <x v="0"/>
    <x v="2"/>
    <x v="0"/>
    <x v="0"/>
    <n v="12"/>
    <n v="0"/>
    <n v="0"/>
  </r>
  <r>
    <s v="USR_01608"/>
    <s v="B"/>
    <x v="1"/>
    <x v="3"/>
    <x v="1"/>
    <x v="1"/>
    <n v="6"/>
    <n v="0"/>
    <n v="0"/>
  </r>
  <r>
    <s v="USR_01609"/>
    <s v="A"/>
    <x v="0"/>
    <x v="0"/>
    <x v="1"/>
    <x v="1"/>
    <n v="12"/>
    <n v="0"/>
    <n v="0"/>
  </r>
  <r>
    <s v="USR_01610"/>
    <s v="B"/>
    <x v="1"/>
    <x v="1"/>
    <x v="0"/>
    <x v="0"/>
    <n v="7"/>
    <n v="0"/>
    <n v="0"/>
  </r>
  <r>
    <s v="USR_01611"/>
    <s v="B"/>
    <x v="1"/>
    <x v="1"/>
    <x v="0"/>
    <x v="0"/>
    <n v="4"/>
    <n v="0"/>
    <n v="0"/>
  </r>
  <r>
    <s v="USR_01612"/>
    <s v="B"/>
    <x v="1"/>
    <x v="1"/>
    <x v="1"/>
    <x v="1"/>
    <n v="4"/>
    <n v="0"/>
    <n v="0"/>
  </r>
  <r>
    <s v="USR_01613"/>
    <s v="B"/>
    <x v="1"/>
    <x v="3"/>
    <x v="0"/>
    <x v="0"/>
    <n v="5"/>
    <n v="0"/>
    <n v="0"/>
  </r>
  <r>
    <s v="USR_01614"/>
    <s v="A"/>
    <x v="0"/>
    <x v="3"/>
    <x v="0"/>
    <x v="0"/>
    <n v="3"/>
    <n v="0"/>
    <n v="0"/>
  </r>
  <r>
    <s v="USR_01615"/>
    <s v="A"/>
    <x v="0"/>
    <x v="1"/>
    <x v="0"/>
    <x v="0"/>
    <n v="8"/>
    <n v="0"/>
    <n v="0"/>
  </r>
  <r>
    <s v="USR_01616"/>
    <s v="B"/>
    <x v="1"/>
    <x v="3"/>
    <x v="1"/>
    <x v="1"/>
    <n v="8"/>
    <n v="0"/>
    <n v="0"/>
  </r>
  <r>
    <s v="USR_01617"/>
    <s v="variant_b"/>
    <x v="1"/>
    <x v="0"/>
    <x v="0"/>
    <x v="0"/>
    <n v="5"/>
    <n v="0"/>
    <n v="0"/>
  </r>
  <r>
    <s v="USR_01618"/>
    <s v="B"/>
    <x v="1"/>
    <x v="3"/>
    <x v="0"/>
    <x v="0"/>
    <n v="10"/>
    <n v="1"/>
    <n v="1576.71"/>
  </r>
  <r>
    <s v="USR_01619"/>
    <s v="B"/>
    <x v="1"/>
    <x v="3"/>
    <x v="0"/>
    <x v="0"/>
    <n v="7"/>
    <n v="0"/>
    <n v="0"/>
  </r>
  <r>
    <s v="USR_01620"/>
    <s v="B"/>
    <x v="1"/>
    <x v="1"/>
    <x v="1"/>
    <x v="1"/>
    <n v="4"/>
    <n v="0"/>
    <n v="0"/>
  </r>
  <r>
    <s v="USR_01621"/>
    <s v="B"/>
    <x v="1"/>
    <x v="3"/>
    <x v="0"/>
    <x v="0"/>
    <n v="9"/>
    <n v="0"/>
    <n v="0"/>
  </r>
  <r>
    <s v="USR_01622"/>
    <s v="A"/>
    <x v="0"/>
    <x v="1"/>
    <x v="0"/>
    <x v="0"/>
    <n v="7"/>
    <n v="0"/>
    <n v="0"/>
  </r>
  <r>
    <s v="USR_01623"/>
    <s v="B"/>
    <x v="1"/>
    <x v="1"/>
    <x v="0"/>
    <x v="0"/>
    <n v="9"/>
    <n v="0"/>
    <n v="0"/>
  </r>
  <r>
    <s v="USR_01624"/>
    <s v="control"/>
    <x v="0"/>
    <x v="0"/>
    <x v="1"/>
    <x v="1"/>
    <n v="7"/>
    <n v="0"/>
    <n v="0"/>
  </r>
  <r>
    <s v="USR_01625"/>
    <s v="A"/>
    <x v="0"/>
    <x v="0"/>
    <x v="1"/>
    <x v="1"/>
    <n v="2"/>
    <n v="1"/>
    <n v="5654.19"/>
  </r>
  <r>
    <s v="USR_01626"/>
    <s v="B"/>
    <x v="1"/>
    <x v="1"/>
    <x v="0"/>
    <x v="0"/>
    <n v="9"/>
    <n v="0"/>
    <n v="0"/>
  </r>
  <r>
    <s v="USR_01627"/>
    <s v="A"/>
    <x v="0"/>
    <x v="1"/>
    <x v="1"/>
    <x v="1"/>
    <n v="1"/>
    <n v="0"/>
    <n v="0"/>
  </r>
  <r>
    <s v="USR_01628"/>
    <s v="B"/>
    <x v="1"/>
    <x v="2"/>
    <x v="1"/>
    <x v="1"/>
    <n v="7"/>
    <n v="1"/>
    <n v="1459.28"/>
  </r>
  <r>
    <s v="USR_01629"/>
    <s v="A"/>
    <x v="0"/>
    <x v="3"/>
    <x v="1"/>
    <x v="1"/>
    <n v="3"/>
    <n v="1"/>
    <n v="1300.23"/>
  </r>
  <r>
    <s v="USR_01630"/>
    <s v="A"/>
    <x v="0"/>
    <x v="3"/>
    <x v="1"/>
    <x v="1"/>
    <n v="5"/>
    <n v="0"/>
    <n v="0"/>
  </r>
  <r>
    <s v="USR_01631"/>
    <s v="B"/>
    <x v="1"/>
    <x v="3"/>
    <x v="0"/>
    <x v="0"/>
    <n v="4"/>
    <n v="0"/>
    <n v="0"/>
  </r>
  <r>
    <s v="USR_01632"/>
    <s v="A"/>
    <x v="0"/>
    <x v="3"/>
    <x v="0"/>
    <x v="0"/>
    <n v="5"/>
    <n v="0"/>
    <n v="0"/>
  </r>
  <r>
    <s v="USR_01633"/>
    <s v="B"/>
    <x v="1"/>
    <x v="1"/>
    <x v="1"/>
    <x v="1"/>
    <n v="4"/>
    <n v="0"/>
    <n v="0"/>
  </r>
  <r>
    <s v="USR_01634"/>
    <s v="B"/>
    <x v="1"/>
    <x v="1"/>
    <x v="1"/>
    <x v="1"/>
    <n v="2"/>
    <n v="0"/>
    <n v="0"/>
  </r>
  <r>
    <s v="USR_01635"/>
    <s v="control"/>
    <x v="0"/>
    <x v="1"/>
    <x v="1"/>
    <x v="1"/>
    <n v="3"/>
    <n v="0"/>
    <n v="0"/>
  </r>
  <r>
    <s v="USR_01636"/>
    <s v="A"/>
    <x v="0"/>
    <x v="3"/>
    <x v="0"/>
    <x v="0"/>
    <n v="7"/>
    <n v="0"/>
    <n v="0"/>
  </r>
  <r>
    <s v="USR_01637"/>
    <s v="A"/>
    <x v="0"/>
    <x v="1"/>
    <x v="1"/>
    <x v="1"/>
    <n v="1"/>
    <n v="1"/>
    <n v="2930.13"/>
  </r>
  <r>
    <s v="USR_01638"/>
    <s v="A"/>
    <x v="0"/>
    <x v="3"/>
    <x v="1"/>
    <x v="1"/>
    <n v="9"/>
    <n v="0"/>
    <n v="0"/>
  </r>
  <r>
    <s v="USR_01639"/>
    <s v="variant_b"/>
    <x v="1"/>
    <x v="1"/>
    <x v="0"/>
    <x v="0"/>
    <n v="5"/>
    <n v="0"/>
    <n v="0"/>
  </r>
  <r>
    <s v="USR_01640"/>
    <s v="control"/>
    <x v="0"/>
    <x v="1"/>
    <x v="0"/>
    <x v="0"/>
    <n v="4"/>
    <n v="0"/>
    <n v="0"/>
  </r>
  <r>
    <s v="USR_01641"/>
    <s v="B"/>
    <x v="1"/>
    <x v="3"/>
    <x v="1"/>
    <x v="1"/>
    <n v="3"/>
    <n v="0"/>
    <n v="0"/>
  </r>
  <r>
    <s v="USR_01642"/>
    <s v="B"/>
    <x v="1"/>
    <x v="3"/>
    <x v="1"/>
    <x v="1"/>
    <n v="7"/>
    <n v="0"/>
    <n v="0"/>
  </r>
  <r>
    <s v="USR_01643"/>
    <s v="B"/>
    <x v="1"/>
    <x v="3"/>
    <x v="0"/>
    <x v="0"/>
    <n v="3"/>
    <n v="0"/>
    <n v="0"/>
  </r>
  <r>
    <s v="USR_01644"/>
    <s v="B"/>
    <x v="1"/>
    <x v="0"/>
    <x v="0"/>
    <x v="0"/>
    <n v="3"/>
    <n v="1"/>
    <n v="6169.67"/>
  </r>
  <r>
    <s v="USR_01645"/>
    <s v="A"/>
    <x v="0"/>
    <x v="0"/>
    <x v="0"/>
    <x v="0"/>
    <n v="6"/>
    <n v="0"/>
    <n v="0"/>
  </r>
  <r>
    <s v="USR_01646"/>
    <s v="B"/>
    <x v="1"/>
    <x v="1"/>
    <x v="0"/>
    <x v="0"/>
    <n v="8"/>
    <n v="0"/>
    <n v="0"/>
  </r>
  <r>
    <s v="USR_01647"/>
    <s v="A"/>
    <x v="0"/>
    <x v="3"/>
    <x v="0"/>
    <x v="0"/>
    <n v="5"/>
    <n v="0"/>
    <n v="0"/>
  </r>
  <r>
    <s v="USR_01648"/>
    <s v="B"/>
    <x v="1"/>
    <x v="3"/>
    <x v="0"/>
    <x v="0"/>
    <n v="5"/>
    <n v="0"/>
    <n v="0"/>
  </r>
  <r>
    <s v="USR_01649"/>
    <s v="B"/>
    <x v="1"/>
    <x v="1"/>
    <x v="1"/>
    <x v="1"/>
    <n v="7"/>
    <n v="0"/>
    <n v="0"/>
  </r>
  <r>
    <s v="USR_01650"/>
    <s v="B"/>
    <x v="1"/>
    <x v="0"/>
    <x v="0"/>
    <x v="0"/>
    <n v="5"/>
    <n v="0"/>
    <n v="0"/>
  </r>
  <r>
    <s v="USR_01651"/>
    <s v="A"/>
    <x v="0"/>
    <x v="3"/>
    <x v="0"/>
    <x v="0"/>
    <n v="5"/>
    <n v="0"/>
    <n v="0"/>
  </r>
  <r>
    <s v="USR_01652"/>
    <s v="A"/>
    <x v="0"/>
    <x v="3"/>
    <x v="0"/>
    <x v="0"/>
    <n v="3"/>
    <n v="0"/>
    <n v="0"/>
  </r>
  <r>
    <s v="USR_01653"/>
    <s v="A"/>
    <x v="0"/>
    <x v="1"/>
    <x v="0"/>
    <x v="0"/>
    <n v="10"/>
    <n v="1"/>
    <n v="2946.9"/>
  </r>
  <r>
    <s v="USR_01654"/>
    <s v="A"/>
    <x v="0"/>
    <x v="3"/>
    <x v="0"/>
    <x v="0"/>
    <n v="4"/>
    <n v="0"/>
    <n v="0"/>
  </r>
  <r>
    <s v="USR_01655"/>
    <s v="A"/>
    <x v="0"/>
    <x v="3"/>
    <x v="0"/>
    <x v="0"/>
    <n v="7"/>
    <n v="0"/>
    <n v="0"/>
  </r>
  <r>
    <s v="USR_01656"/>
    <s v="control"/>
    <x v="0"/>
    <x v="3"/>
    <x v="0"/>
    <x v="0"/>
    <n v="6"/>
    <n v="0"/>
    <n v="0"/>
  </r>
  <r>
    <s v="USR_01657"/>
    <s v="B"/>
    <x v="1"/>
    <x v="1"/>
    <x v="0"/>
    <x v="0"/>
    <n v="4"/>
    <n v="0"/>
    <n v="0"/>
  </r>
  <r>
    <s v="USR_01658"/>
    <s v="A"/>
    <x v="0"/>
    <x v="0"/>
    <x v="0"/>
    <x v="0"/>
    <n v="7"/>
    <n v="0"/>
    <n v="0"/>
  </r>
  <r>
    <s v="USR_01659"/>
    <s v="A"/>
    <x v="0"/>
    <x v="2"/>
    <x v="0"/>
    <x v="0"/>
    <n v="6"/>
    <n v="0"/>
    <n v="0"/>
  </r>
  <r>
    <s v="USR_01660"/>
    <s v="A"/>
    <x v="0"/>
    <x v="1"/>
    <x v="0"/>
    <x v="0"/>
    <n v="3"/>
    <n v="0"/>
    <n v="0"/>
  </r>
  <r>
    <s v="USR_01661"/>
    <s v="B"/>
    <x v="1"/>
    <x v="1"/>
    <x v="1"/>
    <x v="1"/>
    <n v="12"/>
    <n v="0"/>
    <n v="0"/>
  </r>
  <r>
    <s v="USR_01662"/>
    <s v="B"/>
    <x v="1"/>
    <x v="3"/>
    <x v="0"/>
    <x v="0"/>
    <n v="8"/>
    <n v="0"/>
    <n v="0"/>
  </r>
  <r>
    <s v="USR_01663"/>
    <s v="B"/>
    <x v="1"/>
    <x v="1"/>
    <x v="0"/>
    <x v="0"/>
    <n v="3"/>
    <n v="0"/>
    <n v="0"/>
  </r>
  <r>
    <s v="USR_01664"/>
    <s v="B"/>
    <x v="1"/>
    <x v="3"/>
    <x v="1"/>
    <x v="1"/>
    <n v="8"/>
    <n v="1"/>
    <n v="1890.08"/>
  </r>
  <r>
    <s v="USR_01665"/>
    <s v="variant_b"/>
    <x v="1"/>
    <x v="1"/>
    <x v="0"/>
    <x v="0"/>
    <n v="6"/>
    <n v="0"/>
    <n v="0"/>
  </r>
  <r>
    <s v="USR_01666"/>
    <s v="B"/>
    <x v="1"/>
    <x v="3"/>
    <x v="1"/>
    <x v="1"/>
    <n v="7"/>
    <n v="0"/>
    <n v="0"/>
  </r>
  <r>
    <s v="USR_01667"/>
    <s v="A"/>
    <x v="0"/>
    <x v="3"/>
    <x v="0"/>
    <x v="0"/>
    <n v="5"/>
    <n v="0"/>
    <n v="0"/>
  </r>
  <r>
    <s v="USR_01668"/>
    <s v="control"/>
    <x v="0"/>
    <x v="3"/>
    <x v="1"/>
    <x v="1"/>
    <n v="7"/>
    <n v="1"/>
    <n v="1087.5899999999999"/>
  </r>
  <r>
    <s v="USR_01669"/>
    <s v="A"/>
    <x v="0"/>
    <x v="3"/>
    <x v="0"/>
    <x v="0"/>
    <n v="10"/>
    <n v="0"/>
    <n v="0"/>
  </r>
  <r>
    <s v="USR_01670"/>
    <s v="B"/>
    <x v="1"/>
    <x v="3"/>
    <x v="0"/>
    <x v="0"/>
    <n v="4"/>
    <n v="0"/>
    <n v="0"/>
  </r>
  <r>
    <s v="USR_01671"/>
    <s v="A"/>
    <x v="0"/>
    <x v="3"/>
    <x v="0"/>
    <x v="0"/>
    <n v="4"/>
    <n v="0"/>
    <n v="0"/>
  </r>
  <r>
    <s v="USR_01672"/>
    <s v="B"/>
    <x v="1"/>
    <x v="2"/>
    <x v="1"/>
    <x v="1"/>
    <n v="5"/>
    <n v="0"/>
    <n v="0"/>
  </r>
  <r>
    <s v="USR_01673"/>
    <s v="B"/>
    <x v="1"/>
    <x v="1"/>
    <x v="0"/>
    <x v="0"/>
    <n v="5"/>
    <n v="0"/>
    <n v="0"/>
  </r>
  <r>
    <s v="USR_01674"/>
    <s v="B"/>
    <x v="1"/>
    <x v="1"/>
    <x v="0"/>
    <x v="0"/>
    <n v="5"/>
    <n v="0"/>
    <n v="0"/>
  </r>
  <r>
    <s v="USR_01675"/>
    <s v="B"/>
    <x v="1"/>
    <x v="0"/>
    <x v="0"/>
    <x v="0"/>
    <n v="14"/>
    <n v="0"/>
    <n v="0"/>
  </r>
  <r>
    <s v="USR_01676"/>
    <s v="A"/>
    <x v="0"/>
    <x v="2"/>
    <x v="0"/>
    <x v="0"/>
    <n v="10"/>
    <n v="1"/>
    <n v="1638.51"/>
  </r>
  <r>
    <s v="USR_01677"/>
    <s v="A"/>
    <x v="0"/>
    <x v="1"/>
    <x v="1"/>
    <x v="1"/>
    <n v="7"/>
    <n v="1"/>
    <n v="2903.18"/>
  </r>
  <r>
    <s v="USR_01678"/>
    <s v="A"/>
    <x v="0"/>
    <x v="0"/>
    <x v="0"/>
    <x v="0"/>
    <n v="6"/>
    <n v="0"/>
    <n v="0"/>
  </r>
  <r>
    <s v="USR_01679"/>
    <s v="A"/>
    <x v="0"/>
    <x v="3"/>
    <x v="1"/>
    <x v="1"/>
    <n v="2"/>
    <n v="0"/>
    <n v="0"/>
  </r>
  <r>
    <s v="USR_01680"/>
    <s v="B"/>
    <x v="1"/>
    <x v="3"/>
    <x v="1"/>
    <x v="1"/>
    <n v="3"/>
    <n v="0"/>
    <n v="0"/>
  </r>
  <r>
    <s v="USR_01681"/>
    <s v="A"/>
    <x v="0"/>
    <x v="3"/>
    <x v="1"/>
    <x v="1"/>
    <n v="9"/>
    <n v="1"/>
    <n v="1204.45"/>
  </r>
  <r>
    <s v="USR_01682"/>
    <s v="variant_b"/>
    <x v="1"/>
    <x v="1"/>
    <x v="0"/>
    <x v="0"/>
    <n v="8"/>
    <n v="0"/>
    <n v="0"/>
  </r>
  <r>
    <s v="USR_01683"/>
    <s v="B"/>
    <x v="1"/>
    <x v="1"/>
    <x v="0"/>
    <x v="0"/>
    <n v="3"/>
    <n v="0"/>
    <n v="0"/>
  </r>
  <r>
    <s v="USR_01684"/>
    <s v="B"/>
    <x v="1"/>
    <x v="3"/>
    <x v="0"/>
    <x v="0"/>
    <n v="7"/>
    <n v="0"/>
    <n v="0"/>
  </r>
  <r>
    <s v="USR_01685"/>
    <s v="A"/>
    <x v="0"/>
    <x v="3"/>
    <x v="1"/>
    <x v="1"/>
    <n v="7"/>
    <n v="0"/>
    <n v="0"/>
  </r>
  <r>
    <s v="USR_01686"/>
    <s v="B"/>
    <x v="1"/>
    <x v="1"/>
    <x v="0"/>
    <x v="0"/>
    <n v="4"/>
    <n v="1"/>
    <n v="2452.14"/>
  </r>
  <r>
    <s v="USR_01687"/>
    <s v="control"/>
    <x v="0"/>
    <x v="3"/>
    <x v="0"/>
    <x v="0"/>
    <n v="8"/>
    <n v="0"/>
    <n v="0"/>
  </r>
  <r>
    <s v="USR_01688"/>
    <s v="B"/>
    <x v="1"/>
    <x v="1"/>
    <x v="0"/>
    <x v="0"/>
    <n v="10"/>
    <n v="1"/>
    <n v="2012.54"/>
  </r>
  <r>
    <s v="USR_01689"/>
    <s v="B"/>
    <x v="1"/>
    <x v="1"/>
    <x v="1"/>
    <x v="1"/>
    <n v="12"/>
    <n v="1"/>
    <n v="1708.86"/>
  </r>
  <r>
    <s v="USR_01690"/>
    <s v="B"/>
    <x v="1"/>
    <x v="1"/>
    <x v="0"/>
    <x v="0"/>
    <n v="5"/>
    <n v="0"/>
    <n v="0"/>
  </r>
  <r>
    <s v="USR_01691"/>
    <s v="A"/>
    <x v="0"/>
    <x v="1"/>
    <x v="1"/>
    <x v="1"/>
    <n v="6"/>
    <n v="0"/>
    <n v="0"/>
  </r>
  <r>
    <s v="USR_01692"/>
    <s v="B"/>
    <x v="1"/>
    <x v="0"/>
    <x v="0"/>
    <x v="0"/>
    <n v="7"/>
    <n v="0"/>
    <n v="0"/>
  </r>
  <r>
    <s v="USR_01693"/>
    <s v="A"/>
    <x v="0"/>
    <x v="1"/>
    <x v="1"/>
    <x v="1"/>
    <n v="6"/>
    <n v="0"/>
    <n v="0"/>
  </r>
  <r>
    <s v="USR_01694"/>
    <s v="A"/>
    <x v="0"/>
    <x v="1"/>
    <x v="1"/>
    <x v="1"/>
    <n v="6"/>
    <n v="0"/>
    <n v="0"/>
  </r>
  <r>
    <s v="USR_01695"/>
    <s v="A"/>
    <x v="0"/>
    <x v="1"/>
    <x v="1"/>
    <x v="1"/>
    <n v="4"/>
    <n v="0"/>
    <n v="0"/>
  </r>
  <r>
    <s v="USR_01696"/>
    <s v="A"/>
    <x v="0"/>
    <x v="3"/>
    <x v="1"/>
    <x v="1"/>
    <n v="7"/>
    <n v="0"/>
    <n v="0"/>
  </r>
  <r>
    <s v="USR_01697"/>
    <s v="A"/>
    <x v="0"/>
    <x v="3"/>
    <x v="1"/>
    <x v="1"/>
    <n v="3"/>
    <n v="0"/>
    <n v="0"/>
  </r>
  <r>
    <s v="USR_01698"/>
    <s v="A"/>
    <x v="0"/>
    <x v="3"/>
    <x v="0"/>
    <x v="0"/>
    <n v="6"/>
    <n v="0"/>
    <n v="0"/>
  </r>
  <r>
    <s v="USR_01699"/>
    <s v="variant_b"/>
    <x v="1"/>
    <x v="1"/>
    <x v="1"/>
    <x v="1"/>
    <n v="5"/>
    <n v="0"/>
    <n v="0"/>
  </r>
  <r>
    <s v="USR_01700"/>
    <s v="B"/>
    <x v="1"/>
    <x v="1"/>
    <x v="0"/>
    <x v="0"/>
    <n v="4"/>
    <n v="0"/>
    <n v="0"/>
  </r>
  <r>
    <s v="USR_01701"/>
    <s v="variant_b"/>
    <x v="1"/>
    <x v="0"/>
    <x v="1"/>
    <x v="1"/>
    <n v="2"/>
    <n v="0"/>
    <n v="0"/>
  </r>
  <r>
    <s v="USR_01702"/>
    <s v="A"/>
    <x v="0"/>
    <x v="3"/>
    <x v="1"/>
    <x v="1"/>
    <n v="6"/>
    <n v="0"/>
    <n v="0"/>
  </r>
  <r>
    <s v="USR_01703"/>
    <s v="A"/>
    <x v="0"/>
    <x v="3"/>
    <x v="0"/>
    <x v="0"/>
    <n v="8"/>
    <n v="1"/>
    <n v="1464.56"/>
  </r>
  <r>
    <s v="USR_01704"/>
    <s v="B"/>
    <x v="1"/>
    <x v="2"/>
    <x v="0"/>
    <x v="0"/>
    <n v="7"/>
    <n v="0"/>
    <n v="0"/>
  </r>
  <r>
    <s v="USR_01705"/>
    <s v="A"/>
    <x v="0"/>
    <x v="3"/>
    <x v="0"/>
    <x v="0"/>
    <n v="2"/>
    <n v="0"/>
    <n v="0"/>
  </r>
  <r>
    <s v="USR_01706"/>
    <s v="A"/>
    <x v="0"/>
    <x v="1"/>
    <x v="1"/>
    <x v="1"/>
    <n v="11"/>
    <n v="0"/>
    <n v="0"/>
  </r>
  <r>
    <s v="USR_01707"/>
    <s v="B"/>
    <x v="1"/>
    <x v="1"/>
    <x v="1"/>
    <x v="1"/>
    <n v="9"/>
    <n v="0"/>
    <n v="0"/>
  </r>
  <r>
    <s v="USR_01708"/>
    <s v="A"/>
    <x v="0"/>
    <x v="1"/>
    <x v="1"/>
    <x v="1"/>
    <n v="6"/>
    <n v="0"/>
    <n v="0"/>
  </r>
  <r>
    <s v="USR_01709"/>
    <s v="B"/>
    <x v="1"/>
    <x v="3"/>
    <x v="1"/>
    <x v="1"/>
    <n v="7"/>
    <n v="0"/>
    <n v="0"/>
  </r>
  <r>
    <s v="USR_01710"/>
    <s v="B"/>
    <x v="1"/>
    <x v="3"/>
    <x v="1"/>
    <x v="1"/>
    <n v="8"/>
    <n v="0"/>
    <n v="0"/>
  </r>
  <r>
    <s v="USR_01711"/>
    <s v="A"/>
    <x v="0"/>
    <x v="3"/>
    <x v="0"/>
    <x v="0"/>
    <n v="7"/>
    <n v="0"/>
    <n v="0"/>
  </r>
  <r>
    <s v="USR_01712"/>
    <s v="A"/>
    <x v="0"/>
    <x v="1"/>
    <x v="0"/>
    <x v="0"/>
    <n v="3"/>
    <n v="0"/>
    <n v="0"/>
  </r>
  <r>
    <s v="USR_01713"/>
    <s v="B"/>
    <x v="1"/>
    <x v="1"/>
    <x v="1"/>
    <x v="1"/>
    <n v="6"/>
    <n v="0"/>
    <n v="0"/>
  </r>
  <r>
    <s v="USR_01714"/>
    <s v="A"/>
    <x v="0"/>
    <x v="3"/>
    <x v="0"/>
    <x v="0"/>
    <n v="6"/>
    <n v="1"/>
    <n v="1123.05"/>
  </r>
  <r>
    <s v="USR_01715"/>
    <s v="A"/>
    <x v="0"/>
    <x v="1"/>
    <x v="0"/>
    <x v="0"/>
    <n v="6"/>
    <n v="0"/>
    <n v="0"/>
  </r>
  <r>
    <s v="USR_01716"/>
    <s v="variant_b"/>
    <x v="1"/>
    <x v="0"/>
    <x v="0"/>
    <x v="0"/>
    <n v="8"/>
    <n v="0"/>
    <n v="0"/>
  </r>
  <r>
    <s v="USR_01717"/>
    <s v="A"/>
    <x v="0"/>
    <x v="3"/>
    <x v="0"/>
    <x v="0"/>
    <n v="7"/>
    <n v="0"/>
    <n v="0"/>
  </r>
  <r>
    <s v="USR_01718"/>
    <s v="B"/>
    <x v="1"/>
    <x v="1"/>
    <x v="0"/>
    <x v="0"/>
    <n v="8"/>
    <n v="0"/>
    <n v="0"/>
  </r>
  <r>
    <s v="USR_01719"/>
    <s v="variant_b"/>
    <x v="1"/>
    <x v="1"/>
    <x v="0"/>
    <x v="0"/>
    <n v="1"/>
    <n v="0"/>
    <n v="0"/>
  </r>
  <r>
    <s v="USR_01720"/>
    <s v="A"/>
    <x v="0"/>
    <x v="3"/>
    <x v="0"/>
    <x v="0"/>
    <n v="8"/>
    <n v="0"/>
    <n v="0"/>
  </r>
  <r>
    <s v="USR_01721"/>
    <s v="A"/>
    <x v="0"/>
    <x v="3"/>
    <x v="1"/>
    <x v="1"/>
    <n v="4"/>
    <n v="0"/>
    <n v="0"/>
  </r>
  <r>
    <s v="USR_01722"/>
    <s v="A"/>
    <x v="0"/>
    <x v="1"/>
    <x v="0"/>
    <x v="0"/>
    <n v="7"/>
    <n v="0"/>
    <n v="0"/>
  </r>
  <r>
    <s v="USR_01723"/>
    <s v="A"/>
    <x v="0"/>
    <x v="0"/>
    <x v="0"/>
    <x v="0"/>
    <n v="4"/>
    <n v="1"/>
    <n v="4830.9799999999996"/>
  </r>
  <r>
    <s v="USR_01724"/>
    <s v="A"/>
    <x v="0"/>
    <x v="0"/>
    <x v="0"/>
    <x v="0"/>
    <n v="8"/>
    <n v="0"/>
    <n v="0"/>
  </r>
  <r>
    <s v="USR_01725"/>
    <s v="B"/>
    <x v="1"/>
    <x v="1"/>
    <x v="1"/>
    <x v="1"/>
    <n v="5"/>
    <n v="0"/>
    <n v="0"/>
  </r>
  <r>
    <s v="USR_01726"/>
    <s v="A"/>
    <x v="0"/>
    <x v="1"/>
    <x v="0"/>
    <x v="0"/>
    <n v="7"/>
    <n v="0"/>
    <n v="0"/>
  </r>
  <r>
    <s v="USR_01727"/>
    <s v="B"/>
    <x v="1"/>
    <x v="3"/>
    <x v="0"/>
    <x v="0"/>
    <n v="5"/>
    <n v="1"/>
    <n v="1382.55"/>
  </r>
  <r>
    <s v="USR_01728"/>
    <s v="variant_b"/>
    <x v="1"/>
    <x v="1"/>
    <x v="0"/>
    <x v="0"/>
    <n v="9"/>
    <n v="0"/>
    <n v="0"/>
  </r>
  <r>
    <s v="USR_01729"/>
    <s v="B"/>
    <x v="1"/>
    <x v="1"/>
    <x v="1"/>
    <x v="1"/>
    <n v="8"/>
    <n v="0"/>
    <n v="0"/>
  </r>
  <r>
    <s v="USR_01730"/>
    <s v="B"/>
    <x v="1"/>
    <x v="3"/>
    <x v="1"/>
    <x v="1"/>
    <n v="3"/>
    <n v="0"/>
    <n v="0"/>
  </r>
  <r>
    <s v="USR_01731"/>
    <s v="A"/>
    <x v="0"/>
    <x v="1"/>
    <x v="0"/>
    <x v="0"/>
    <n v="4"/>
    <n v="0"/>
    <n v="0"/>
  </r>
  <r>
    <s v="USR_01732"/>
    <s v="B"/>
    <x v="1"/>
    <x v="1"/>
    <x v="0"/>
    <x v="0"/>
    <n v="9"/>
    <n v="1"/>
    <n v="2526.5100000000002"/>
  </r>
  <r>
    <s v="USR_01733"/>
    <s v="B"/>
    <x v="1"/>
    <x v="3"/>
    <x v="1"/>
    <x v="1"/>
    <n v="4"/>
    <n v="1"/>
    <n v="1103.1300000000001"/>
  </r>
  <r>
    <s v="USR_01734"/>
    <s v="A"/>
    <x v="0"/>
    <x v="0"/>
    <x v="0"/>
    <x v="0"/>
    <n v="1"/>
    <n v="0"/>
    <n v="0"/>
  </r>
  <r>
    <s v="USR_01735"/>
    <s v="A"/>
    <x v="0"/>
    <x v="3"/>
    <x v="0"/>
    <x v="0"/>
    <n v="2"/>
    <n v="0"/>
    <n v="0"/>
  </r>
  <r>
    <s v="USR_01736"/>
    <s v="B"/>
    <x v="1"/>
    <x v="3"/>
    <x v="1"/>
    <x v="1"/>
    <n v="7"/>
    <n v="0"/>
    <n v="0"/>
  </r>
  <r>
    <s v="USR_01737"/>
    <s v="A"/>
    <x v="0"/>
    <x v="3"/>
    <x v="1"/>
    <x v="1"/>
    <n v="4"/>
    <n v="0"/>
    <n v="0"/>
  </r>
  <r>
    <s v="USR_01738"/>
    <s v="A"/>
    <x v="0"/>
    <x v="1"/>
    <x v="0"/>
    <x v="0"/>
    <n v="9"/>
    <n v="0"/>
    <n v="0"/>
  </r>
  <r>
    <s v="USR_01739"/>
    <s v="A"/>
    <x v="0"/>
    <x v="1"/>
    <x v="0"/>
    <x v="0"/>
    <n v="11"/>
    <n v="0"/>
    <n v="0"/>
  </r>
  <r>
    <s v="USR_01740"/>
    <s v="A"/>
    <x v="0"/>
    <x v="3"/>
    <x v="1"/>
    <x v="1"/>
    <n v="5"/>
    <n v="0"/>
    <n v="0"/>
  </r>
  <r>
    <s v="USR_01741"/>
    <s v="B"/>
    <x v="1"/>
    <x v="1"/>
    <x v="0"/>
    <x v="0"/>
    <n v="8"/>
    <n v="0"/>
    <n v="0"/>
  </r>
  <r>
    <s v="USR_01742"/>
    <s v="B"/>
    <x v="1"/>
    <x v="3"/>
    <x v="0"/>
    <x v="0"/>
    <n v="5"/>
    <n v="1"/>
    <n v="868.77"/>
  </r>
  <r>
    <s v="USR_01743"/>
    <s v="B"/>
    <x v="1"/>
    <x v="1"/>
    <x v="1"/>
    <x v="1"/>
    <n v="7"/>
    <n v="0"/>
    <n v="0"/>
  </r>
  <r>
    <s v="USR_01744"/>
    <s v="A"/>
    <x v="0"/>
    <x v="1"/>
    <x v="0"/>
    <x v="0"/>
    <n v="3"/>
    <n v="0"/>
    <n v="0"/>
  </r>
  <r>
    <s v="USR_01745"/>
    <s v="A"/>
    <x v="0"/>
    <x v="3"/>
    <x v="0"/>
    <x v="0"/>
    <n v="5"/>
    <n v="0"/>
    <n v="0"/>
  </r>
  <r>
    <s v="USR_01746"/>
    <s v="B"/>
    <x v="1"/>
    <x v="2"/>
    <x v="2"/>
    <x v="2"/>
    <n v="6"/>
    <n v="0"/>
    <n v="0"/>
  </r>
  <r>
    <s v="USR_01747"/>
    <s v="A"/>
    <x v="0"/>
    <x v="3"/>
    <x v="1"/>
    <x v="1"/>
    <n v="6"/>
    <n v="0"/>
    <n v="0"/>
  </r>
  <r>
    <s v="USR_01748"/>
    <s v="A"/>
    <x v="0"/>
    <x v="3"/>
    <x v="0"/>
    <x v="0"/>
    <n v="5"/>
    <n v="0"/>
    <n v="0"/>
  </r>
  <r>
    <s v="USR_01749"/>
    <s v="B"/>
    <x v="1"/>
    <x v="1"/>
    <x v="2"/>
    <x v="2"/>
    <n v="10"/>
    <n v="0"/>
    <n v="0"/>
  </r>
  <r>
    <s v="USR_01750"/>
    <s v="A"/>
    <x v="0"/>
    <x v="2"/>
    <x v="0"/>
    <x v="0"/>
    <n v="9"/>
    <n v="0"/>
    <n v="0"/>
  </r>
  <r>
    <s v="USR_01751"/>
    <s v="B"/>
    <x v="1"/>
    <x v="3"/>
    <x v="0"/>
    <x v="0"/>
    <n v="6"/>
    <n v="0"/>
    <n v="0"/>
  </r>
  <r>
    <s v="USR_01752"/>
    <s v="A"/>
    <x v="0"/>
    <x v="3"/>
    <x v="1"/>
    <x v="1"/>
    <n v="7"/>
    <n v="0"/>
    <n v="0"/>
  </r>
  <r>
    <s v="USR_01753"/>
    <s v="A"/>
    <x v="0"/>
    <x v="3"/>
    <x v="0"/>
    <x v="0"/>
    <n v="1"/>
    <n v="0"/>
    <n v="0"/>
  </r>
  <r>
    <s v="USR_01754"/>
    <s v="A"/>
    <x v="0"/>
    <x v="1"/>
    <x v="0"/>
    <x v="0"/>
    <n v="3"/>
    <n v="0"/>
    <n v="0"/>
  </r>
  <r>
    <s v="USR_01755"/>
    <s v="variant_b"/>
    <x v="1"/>
    <x v="3"/>
    <x v="0"/>
    <x v="0"/>
    <n v="3"/>
    <n v="1"/>
    <n v="1702.63"/>
  </r>
  <r>
    <s v="USR_01756"/>
    <s v="B"/>
    <x v="1"/>
    <x v="1"/>
    <x v="0"/>
    <x v="0"/>
    <n v="14"/>
    <n v="0"/>
    <n v="0"/>
  </r>
  <r>
    <s v="USR_01757"/>
    <s v="control"/>
    <x v="0"/>
    <x v="2"/>
    <x v="0"/>
    <x v="0"/>
    <n v="4"/>
    <n v="0"/>
    <n v="0"/>
  </r>
  <r>
    <s v="USR_01758"/>
    <s v="B"/>
    <x v="1"/>
    <x v="1"/>
    <x v="1"/>
    <x v="1"/>
    <n v="6"/>
    <n v="0"/>
    <n v="0"/>
  </r>
  <r>
    <s v="USR_01759"/>
    <s v="A"/>
    <x v="0"/>
    <x v="3"/>
    <x v="2"/>
    <x v="2"/>
    <n v="7"/>
    <n v="0"/>
    <n v="0"/>
  </r>
  <r>
    <s v="USR_01760"/>
    <s v="B"/>
    <x v="1"/>
    <x v="3"/>
    <x v="0"/>
    <x v="0"/>
    <n v="4"/>
    <n v="0"/>
    <n v="0"/>
  </r>
  <r>
    <s v="USR_01761"/>
    <s v="A"/>
    <x v="0"/>
    <x v="3"/>
    <x v="0"/>
    <x v="0"/>
    <n v="5"/>
    <n v="1"/>
    <n v="1768.9"/>
  </r>
  <r>
    <s v="USR_01762"/>
    <s v="B"/>
    <x v="1"/>
    <x v="0"/>
    <x v="0"/>
    <x v="0"/>
    <n v="2"/>
    <n v="0"/>
    <n v="0"/>
  </r>
  <r>
    <s v="USR_01763"/>
    <s v="A"/>
    <x v="0"/>
    <x v="3"/>
    <x v="0"/>
    <x v="0"/>
    <n v="7"/>
    <n v="0"/>
    <n v="0"/>
  </r>
  <r>
    <s v="USR_01764"/>
    <s v="B"/>
    <x v="1"/>
    <x v="3"/>
    <x v="0"/>
    <x v="0"/>
    <n v="6"/>
    <n v="1"/>
    <n v="1276.19"/>
  </r>
  <r>
    <s v="USR_01765"/>
    <s v="A"/>
    <x v="0"/>
    <x v="1"/>
    <x v="1"/>
    <x v="1"/>
    <n v="6"/>
    <n v="0"/>
    <n v="0"/>
  </r>
  <r>
    <s v="USR_01766"/>
    <s v="A"/>
    <x v="0"/>
    <x v="1"/>
    <x v="1"/>
    <x v="1"/>
    <n v="10"/>
    <n v="0"/>
    <n v="0"/>
  </r>
  <r>
    <s v="USR_01767"/>
    <s v="B"/>
    <x v="1"/>
    <x v="1"/>
    <x v="2"/>
    <x v="2"/>
    <n v="6"/>
    <n v="1"/>
    <n v="2446.6"/>
  </r>
  <r>
    <s v="USR_01768"/>
    <s v="B"/>
    <x v="1"/>
    <x v="3"/>
    <x v="0"/>
    <x v="0"/>
    <n v="7"/>
    <n v="0"/>
    <n v="0"/>
  </r>
  <r>
    <s v="USR_01769"/>
    <s v="A"/>
    <x v="0"/>
    <x v="0"/>
    <x v="0"/>
    <x v="0"/>
    <n v="7"/>
    <n v="1"/>
    <n v="4473.3500000000004"/>
  </r>
  <r>
    <s v="USR_01770"/>
    <s v="A"/>
    <x v="0"/>
    <x v="2"/>
    <x v="0"/>
    <x v="0"/>
    <n v="5"/>
    <n v="0"/>
    <n v="0"/>
  </r>
  <r>
    <s v="USR_01771"/>
    <s v="A"/>
    <x v="0"/>
    <x v="1"/>
    <x v="0"/>
    <x v="0"/>
    <n v="8"/>
    <n v="0"/>
    <n v="0"/>
  </r>
  <r>
    <s v="USR_01772"/>
    <s v="B"/>
    <x v="1"/>
    <x v="2"/>
    <x v="0"/>
    <x v="0"/>
    <n v="6"/>
    <n v="0"/>
    <n v="0"/>
  </r>
  <r>
    <s v="USR_01773"/>
    <s v="B"/>
    <x v="1"/>
    <x v="3"/>
    <x v="1"/>
    <x v="1"/>
    <n v="8"/>
    <n v="0"/>
    <n v="0"/>
  </r>
  <r>
    <s v="USR_01774"/>
    <s v="control"/>
    <x v="0"/>
    <x v="1"/>
    <x v="0"/>
    <x v="0"/>
    <n v="5"/>
    <n v="0"/>
    <n v="0"/>
  </r>
  <r>
    <s v="USR_01775"/>
    <s v="B"/>
    <x v="1"/>
    <x v="1"/>
    <x v="0"/>
    <x v="0"/>
    <n v="6"/>
    <n v="1"/>
    <n v="2594.04"/>
  </r>
  <r>
    <s v="USR_01776"/>
    <s v="A"/>
    <x v="0"/>
    <x v="1"/>
    <x v="0"/>
    <x v="0"/>
    <n v="5"/>
    <n v="0"/>
    <n v="0"/>
  </r>
  <r>
    <s v="USR_01777"/>
    <s v="B"/>
    <x v="1"/>
    <x v="3"/>
    <x v="1"/>
    <x v="1"/>
    <n v="7"/>
    <n v="1"/>
    <n v="1440.08"/>
  </r>
  <r>
    <s v="USR_01778"/>
    <s v="A"/>
    <x v="0"/>
    <x v="3"/>
    <x v="0"/>
    <x v="0"/>
    <n v="6"/>
    <n v="1"/>
    <n v="1470.37"/>
  </r>
  <r>
    <s v="USR_01779"/>
    <s v="A"/>
    <x v="0"/>
    <x v="3"/>
    <x v="2"/>
    <x v="2"/>
    <n v="2"/>
    <n v="0"/>
    <n v="0"/>
  </r>
  <r>
    <s v="USR_01780"/>
    <s v="B"/>
    <x v="1"/>
    <x v="3"/>
    <x v="0"/>
    <x v="0"/>
    <n v="4"/>
    <n v="0"/>
    <n v="0"/>
  </r>
  <r>
    <s v="USR_01781"/>
    <s v="A"/>
    <x v="0"/>
    <x v="3"/>
    <x v="0"/>
    <x v="0"/>
    <n v="5"/>
    <n v="0"/>
    <n v="0"/>
  </r>
  <r>
    <s v="USR_01782"/>
    <s v="B"/>
    <x v="1"/>
    <x v="1"/>
    <x v="0"/>
    <x v="0"/>
    <n v="6"/>
    <n v="0"/>
    <n v="0"/>
  </r>
  <r>
    <s v="USR_01783"/>
    <s v="B"/>
    <x v="1"/>
    <x v="3"/>
    <x v="0"/>
    <x v="0"/>
    <n v="8"/>
    <n v="1"/>
    <n v="1580.32"/>
  </r>
  <r>
    <s v="USR_01784"/>
    <s v="B"/>
    <x v="1"/>
    <x v="3"/>
    <x v="0"/>
    <x v="0"/>
    <n v="9"/>
    <n v="0"/>
    <n v="0"/>
  </r>
  <r>
    <s v="USR_01785"/>
    <s v="B"/>
    <x v="1"/>
    <x v="1"/>
    <x v="1"/>
    <x v="1"/>
    <n v="8"/>
    <n v="0"/>
    <n v="0"/>
  </r>
  <r>
    <s v="USR_01786"/>
    <s v="B"/>
    <x v="1"/>
    <x v="1"/>
    <x v="0"/>
    <x v="0"/>
    <n v="6"/>
    <n v="0"/>
    <n v="0"/>
  </r>
  <r>
    <s v="USR_01787"/>
    <s v="B"/>
    <x v="1"/>
    <x v="0"/>
    <x v="1"/>
    <x v="1"/>
    <n v="4"/>
    <n v="0"/>
    <n v="0"/>
  </r>
  <r>
    <s v="USR_01788"/>
    <s v="B"/>
    <x v="1"/>
    <x v="1"/>
    <x v="1"/>
    <x v="1"/>
    <n v="11"/>
    <n v="1"/>
    <n v="2427.33"/>
  </r>
  <r>
    <s v="USR_01789"/>
    <s v="A"/>
    <x v="0"/>
    <x v="3"/>
    <x v="0"/>
    <x v="0"/>
    <n v="5"/>
    <n v="1"/>
    <n v="1169.74"/>
  </r>
  <r>
    <s v="USR_01790"/>
    <s v="B"/>
    <x v="1"/>
    <x v="0"/>
    <x v="1"/>
    <x v="1"/>
    <n v="12"/>
    <n v="1"/>
    <n v="4711.6099999999997"/>
  </r>
  <r>
    <s v="USR_01791"/>
    <s v="A"/>
    <x v="0"/>
    <x v="1"/>
    <x v="0"/>
    <x v="0"/>
    <n v="8"/>
    <n v="0"/>
    <n v="0"/>
  </r>
  <r>
    <s v="USR_01792"/>
    <s v="B"/>
    <x v="1"/>
    <x v="3"/>
    <x v="0"/>
    <x v="0"/>
    <n v="4"/>
    <n v="0"/>
    <n v="0"/>
  </r>
  <r>
    <s v="USR_01793"/>
    <s v="B"/>
    <x v="1"/>
    <x v="1"/>
    <x v="0"/>
    <x v="0"/>
    <n v="2"/>
    <n v="0"/>
    <n v="0"/>
  </r>
  <r>
    <s v="USR_01794"/>
    <s v="B"/>
    <x v="1"/>
    <x v="0"/>
    <x v="0"/>
    <x v="0"/>
    <n v="5"/>
    <n v="1"/>
    <n v="4832.5"/>
  </r>
  <r>
    <s v="USR_01795"/>
    <s v="A"/>
    <x v="0"/>
    <x v="3"/>
    <x v="0"/>
    <x v="0"/>
    <n v="8"/>
    <n v="0"/>
    <n v="0"/>
  </r>
  <r>
    <s v="USR_01796"/>
    <s v="A"/>
    <x v="0"/>
    <x v="3"/>
    <x v="0"/>
    <x v="0"/>
    <n v="3"/>
    <n v="0"/>
    <n v="0"/>
  </r>
  <r>
    <s v="USR_01797"/>
    <s v="B"/>
    <x v="1"/>
    <x v="3"/>
    <x v="1"/>
    <x v="1"/>
    <n v="5"/>
    <n v="0"/>
    <n v="0"/>
  </r>
  <r>
    <s v="USR_01798"/>
    <s v="A"/>
    <x v="0"/>
    <x v="3"/>
    <x v="0"/>
    <x v="0"/>
    <n v="10"/>
    <n v="1"/>
    <n v="1840.76"/>
  </r>
  <r>
    <s v="USR_01799"/>
    <s v="A"/>
    <x v="0"/>
    <x v="1"/>
    <x v="0"/>
    <x v="0"/>
    <n v="3"/>
    <n v="0"/>
    <n v="0"/>
  </r>
  <r>
    <s v="USR_01800"/>
    <s v="A"/>
    <x v="0"/>
    <x v="1"/>
    <x v="1"/>
    <x v="1"/>
    <n v="3"/>
    <n v="0"/>
    <n v="0"/>
  </r>
  <r>
    <s v="USR_01801"/>
    <s v="control"/>
    <x v="0"/>
    <x v="3"/>
    <x v="0"/>
    <x v="0"/>
    <n v="8"/>
    <n v="0"/>
    <n v="0"/>
  </r>
  <r>
    <s v="USR_01802"/>
    <s v="B"/>
    <x v="1"/>
    <x v="2"/>
    <x v="0"/>
    <x v="0"/>
    <n v="1"/>
    <n v="0"/>
    <n v="0"/>
  </r>
  <r>
    <s v="USR_01803"/>
    <s v="A"/>
    <x v="0"/>
    <x v="1"/>
    <x v="0"/>
    <x v="0"/>
    <n v="9"/>
    <n v="0"/>
    <n v="0"/>
  </r>
  <r>
    <s v="USR_01804"/>
    <s v="A"/>
    <x v="0"/>
    <x v="1"/>
    <x v="0"/>
    <x v="0"/>
    <n v="7"/>
    <n v="0"/>
    <n v="0"/>
  </r>
  <r>
    <s v="USR_01805"/>
    <s v="A"/>
    <x v="0"/>
    <x v="0"/>
    <x v="0"/>
    <x v="0"/>
    <n v="2"/>
    <n v="0"/>
    <n v="0"/>
  </r>
  <r>
    <s v="USR_01806"/>
    <s v="B"/>
    <x v="1"/>
    <x v="3"/>
    <x v="1"/>
    <x v="1"/>
    <n v="8"/>
    <n v="0"/>
    <n v="0"/>
  </r>
  <r>
    <s v="USR_01807"/>
    <s v="B"/>
    <x v="1"/>
    <x v="1"/>
    <x v="1"/>
    <x v="1"/>
    <n v="6"/>
    <n v="0"/>
    <n v="0"/>
  </r>
  <r>
    <s v="USR_01808"/>
    <s v="A"/>
    <x v="0"/>
    <x v="1"/>
    <x v="0"/>
    <x v="0"/>
    <n v="7"/>
    <n v="0"/>
    <n v="0"/>
  </r>
  <r>
    <s v="USR_01809"/>
    <s v="A"/>
    <x v="0"/>
    <x v="0"/>
    <x v="0"/>
    <x v="0"/>
    <n v="9"/>
    <n v="0"/>
    <n v="0"/>
  </r>
  <r>
    <s v="USR_01810"/>
    <s v="A"/>
    <x v="0"/>
    <x v="0"/>
    <x v="0"/>
    <x v="0"/>
    <n v="8"/>
    <n v="0"/>
    <n v="0"/>
  </r>
  <r>
    <s v="USR_01811"/>
    <s v="B"/>
    <x v="1"/>
    <x v="3"/>
    <x v="1"/>
    <x v="1"/>
    <n v="9"/>
    <n v="0"/>
    <n v="0"/>
  </r>
  <r>
    <s v="USR_01812"/>
    <s v="B"/>
    <x v="1"/>
    <x v="2"/>
    <x v="0"/>
    <x v="0"/>
    <n v="5"/>
    <n v="0"/>
    <n v="0"/>
  </r>
  <r>
    <s v="USR_01813"/>
    <s v="A"/>
    <x v="0"/>
    <x v="3"/>
    <x v="0"/>
    <x v="0"/>
    <n v="8"/>
    <n v="0"/>
    <n v="0"/>
  </r>
  <r>
    <s v="USR_01814"/>
    <s v="A"/>
    <x v="0"/>
    <x v="0"/>
    <x v="1"/>
    <x v="1"/>
    <n v="7"/>
    <n v="0"/>
    <n v="0"/>
  </r>
  <r>
    <s v="USR_01815"/>
    <s v="A"/>
    <x v="0"/>
    <x v="2"/>
    <x v="0"/>
    <x v="0"/>
    <n v="9"/>
    <n v="0"/>
    <n v="0"/>
  </r>
  <r>
    <s v="USR_01816"/>
    <s v="variant_b"/>
    <x v="1"/>
    <x v="3"/>
    <x v="0"/>
    <x v="0"/>
    <n v="5"/>
    <n v="0"/>
    <n v="0"/>
  </r>
  <r>
    <s v="USR_01817"/>
    <s v="A"/>
    <x v="0"/>
    <x v="1"/>
    <x v="0"/>
    <x v="0"/>
    <n v="7"/>
    <n v="1"/>
    <n v="2749.88"/>
  </r>
  <r>
    <s v="USR_01818"/>
    <s v="B"/>
    <x v="1"/>
    <x v="3"/>
    <x v="1"/>
    <x v="1"/>
    <n v="3"/>
    <n v="0"/>
    <n v="0"/>
  </r>
  <r>
    <s v="USR_01819"/>
    <s v="B"/>
    <x v="1"/>
    <x v="3"/>
    <x v="0"/>
    <x v="0"/>
    <n v="8"/>
    <n v="0"/>
    <n v="0"/>
  </r>
  <r>
    <s v="USR_01820"/>
    <s v="A"/>
    <x v="0"/>
    <x v="1"/>
    <x v="1"/>
    <x v="1"/>
    <n v="5"/>
    <n v="1"/>
    <n v="3052.82"/>
  </r>
  <r>
    <s v="USR_01821"/>
    <s v="A"/>
    <x v="0"/>
    <x v="1"/>
    <x v="0"/>
    <x v="0"/>
    <n v="6"/>
    <n v="0"/>
    <n v="0"/>
  </r>
  <r>
    <s v="USR_01822"/>
    <s v="A"/>
    <x v="0"/>
    <x v="2"/>
    <x v="1"/>
    <x v="1"/>
    <n v="7"/>
    <n v="0"/>
    <n v="0"/>
  </r>
  <r>
    <s v="USR_01823"/>
    <s v="B"/>
    <x v="1"/>
    <x v="1"/>
    <x v="2"/>
    <x v="2"/>
    <n v="5"/>
    <n v="0"/>
    <n v="0"/>
  </r>
  <r>
    <s v="USR_01824"/>
    <s v="B"/>
    <x v="1"/>
    <x v="1"/>
    <x v="1"/>
    <x v="1"/>
    <n v="9"/>
    <n v="0"/>
    <n v="0"/>
  </r>
  <r>
    <s v="USR_01825"/>
    <s v="B"/>
    <x v="1"/>
    <x v="0"/>
    <x v="0"/>
    <x v="0"/>
    <n v="6"/>
    <n v="0"/>
    <n v="0"/>
  </r>
  <r>
    <s v="USR_01826"/>
    <s v="B"/>
    <x v="1"/>
    <x v="2"/>
    <x v="1"/>
    <x v="1"/>
    <n v="6"/>
    <n v="0"/>
    <n v="0"/>
  </r>
  <r>
    <s v="USR_01827"/>
    <s v="A"/>
    <x v="0"/>
    <x v="3"/>
    <x v="0"/>
    <x v="0"/>
    <n v="7"/>
    <n v="0"/>
    <n v="0"/>
  </r>
  <r>
    <s v="USR_01828"/>
    <s v="variant_b"/>
    <x v="1"/>
    <x v="2"/>
    <x v="0"/>
    <x v="0"/>
    <n v="6"/>
    <n v="0"/>
    <n v="0"/>
  </r>
  <r>
    <s v="USR_01829"/>
    <s v="B"/>
    <x v="1"/>
    <x v="3"/>
    <x v="1"/>
    <x v="1"/>
    <n v="3"/>
    <n v="0"/>
    <n v="0"/>
  </r>
  <r>
    <s v="USR_01830"/>
    <s v="A"/>
    <x v="0"/>
    <x v="0"/>
    <x v="0"/>
    <x v="0"/>
    <n v="8"/>
    <n v="0"/>
    <n v="0"/>
  </r>
  <r>
    <s v="USR_01831"/>
    <s v="variant_b"/>
    <x v="1"/>
    <x v="3"/>
    <x v="1"/>
    <x v="1"/>
    <n v="9"/>
    <n v="0"/>
    <n v="0"/>
  </r>
  <r>
    <s v="USR_01832"/>
    <s v="B"/>
    <x v="1"/>
    <x v="3"/>
    <x v="0"/>
    <x v="0"/>
    <n v="11"/>
    <n v="0"/>
    <n v="0"/>
  </r>
  <r>
    <s v="USR_01833"/>
    <s v="B"/>
    <x v="1"/>
    <x v="1"/>
    <x v="0"/>
    <x v="0"/>
    <n v="2"/>
    <n v="0"/>
    <n v="0"/>
  </r>
  <r>
    <s v="USR_01834"/>
    <s v="B"/>
    <x v="1"/>
    <x v="1"/>
    <x v="1"/>
    <x v="1"/>
    <n v="3"/>
    <n v="0"/>
    <n v="0"/>
  </r>
  <r>
    <s v="USR_01835"/>
    <s v="B"/>
    <x v="1"/>
    <x v="3"/>
    <x v="1"/>
    <x v="1"/>
    <n v="6"/>
    <n v="1"/>
    <n v="1629.73"/>
  </r>
  <r>
    <s v="USR_01836"/>
    <s v="B"/>
    <x v="1"/>
    <x v="3"/>
    <x v="0"/>
    <x v="0"/>
    <n v="4"/>
    <n v="0"/>
    <n v="0"/>
  </r>
  <r>
    <s v="USR_01837"/>
    <s v="A"/>
    <x v="0"/>
    <x v="1"/>
    <x v="0"/>
    <x v="0"/>
    <n v="7"/>
    <n v="0"/>
    <n v="0"/>
  </r>
  <r>
    <s v="USR_01838"/>
    <s v="A"/>
    <x v="0"/>
    <x v="0"/>
    <x v="1"/>
    <x v="1"/>
    <n v="7"/>
    <n v="0"/>
    <n v="0"/>
  </r>
  <r>
    <s v="USR_01839"/>
    <s v="control"/>
    <x v="0"/>
    <x v="3"/>
    <x v="0"/>
    <x v="0"/>
    <n v="4"/>
    <n v="0"/>
    <n v="0"/>
  </r>
  <r>
    <s v="USR_01840"/>
    <s v="A"/>
    <x v="0"/>
    <x v="3"/>
    <x v="1"/>
    <x v="1"/>
    <n v="5"/>
    <n v="0"/>
    <n v="0"/>
  </r>
  <r>
    <s v="USR_01841"/>
    <s v="A"/>
    <x v="0"/>
    <x v="1"/>
    <x v="1"/>
    <x v="1"/>
    <n v="4"/>
    <n v="0"/>
    <n v="0"/>
  </r>
  <r>
    <s v="USR_01842"/>
    <s v="A"/>
    <x v="0"/>
    <x v="3"/>
    <x v="0"/>
    <x v="0"/>
    <n v="6"/>
    <n v="0"/>
    <n v="0"/>
  </r>
  <r>
    <s v="USR_01843"/>
    <s v="A"/>
    <x v="0"/>
    <x v="0"/>
    <x v="0"/>
    <x v="0"/>
    <n v="7"/>
    <n v="1"/>
    <n v="5060.13"/>
  </r>
  <r>
    <s v="USR_01844"/>
    <s v="B"/>
    <x v="1"/>
    <x v="0"/>
    <x v="0"/>
    <x v="0"/>
    <n v="5"/>
    <n v="0"/>
    <n v="0"/>
  </r>
  <r>
    <s v="USR_01845"/>
    <s v="control"/>
    <x v="0"/>
    <x v="1"/>
    <x v="1"/>
    <x v="1"/>
    <n v="4"/>
    <n v="0"/>
    <n v="0"/>
  </r>
  <r>
    <s v="USR_01846"/>
    <s v="A"/>
    <x v="0"/>
    <x v="3"/>
    <x v="0"/>
    <x v="0"/>
    <n v="6"/>
    <n v="1"/>
    <n v="1507.06"/>
  </r>
  <r>
    <s v="USR_01847"/>
    <s v="A"/>
    <x v="0"/>
    <x v="0"/>
    <x v="0"/>
    <x v="0"/>
    <n v="10"/>
    <n v="0"/>
    <n v="0"/>
  </r>
  <r>
    <s v="USR_01848"/>
    <s v="A"/>
    <x v="0"/>
    <x v="1"/>
    <x v="0"/>
    <x v="0"/>
    <n v="9"/>
    <n v="0"/>
    <n v="0"/>
  </r>
  <r>
    <s v="USR_01849"/>
    <s v="B"/>
    <x v="1"/>
    <x v="0"/>
    <x v="1"/>
    <x v="1"/>
    <n v="5"/>
    <n v="1"/>
    <n v="7530.68"/>
  </r>
  <r>
    <s v="USR_01850"/>
    <s v="B"/>
    <x v="1"/>
    <x v="1"/>
    <x v="0"/>
    <x v="0"/>
    <n v="4"/>
    <n v="0"/>
    <n v="0"/>
  </r>
  <r>
    <s v="USR_01851"/>
    <s v="A"/>
    <x v="0"/>
    <x v="0"/>
    <x v="0"/>
    <x v="0"/>
    <n v="5"/>
    <n v="0"/>
    <n v="0"/>
  </r>
  <r>
    <s v="USR_01852"/>
    <s v="B"/>
    <x v="1"/>
    <x v="1"/>
    <x v="1"/>
    <x v="1"/>
    <n v="6"/>
    <n v="1"/>
    <n v="2868.4"/>
  </r>
  <r>
    <s v="USR_01853"/>
    <s v="B"/>
    <x v="1"/>
    <x v="3"/>
    <x v="1"/>
    <x v="1"/>
    <n v="5"/>
    <n v="0"/>
    <n v="0"/>
  </r>
  <r>
    <s v="USR_01854"/>
    <s v="B"/>
    <x v="1"/>
    <x v="2"/>
    <x v="1"/>
    <x v="1"/>
    <n v="6"/>
    <n v="0"/>
    <n v="0"/>
  </r>
  <r>
    <s v="USR_01855"/>
    <s v="B"/>
    <x v="1"/>
    <x v="1"/>
    <x v="0"/>
    <x v="0"/>
    <n v="4"/>
    <n v="0"/>
    <n v="0"/>
  </r>
  <r>
    <s v="USR_01856"/>
    <s v="A"/>
    <x v="0"/>
    <x v="1"/>
    <x v="0"/>
    <x v="0"/>
    <n v="10"/>
    <n v="0"/>
    <n v="0"/>
  </r>
  <r>
    <s v="USR_01857"/>
    <s v="B"/>
    <x v="1"/>
    <x v="3"/>
    <x v="1"/>
    <x v="1"/>
    <n v="10"/>
    <n v="0"/>
    <n v="0"/>
  </r>
  <r>
    <s v="USR_01858"/>
    <s v="B"/>
    <x v="1"/>
    <x v="1"/>
    <x v="0"/>
    <x v="0"/>
    <n v="9"/>
    <n v="0"/>
    <n v="0"/>
  </r>
  <r>
    <s v="USR_01859"/>
    <s v="B"/>
    <x v="1"/>
    <x v="1"/>
    <x v="1"/>
    <x v="1"/>
    <n v="2"/>
    <n v="0"/>
    <n v="0"/>
  </r>
  <r>
    <s v="USR_01860"/>
    <s v="B"/>
    <x v="1"/>
    <x v="3"/>
    <x v="1"/>
    <x v="1"/>
    <n v="8"/>
    <n v="0"/>
    <n v="0"/>
  </r>
  <r>
    <s v="USR_01861"/>
    <s v="B"/>
    <x v="1"/>
    <x v="3"/>
    <x v="0"/>
    <x v="0"/>
    <n v="8"/>
    <n v="0"/>
    <n v="0"/>
  </r>
  <r>
    <s v="USR_01862"/>
    <s v="B"/>
    <x v="1"/>
    <x v="1"/>
    <x v="1"/>
    <x v="1"/>
    <n v="13"/>
    <n v="0"/>
    <n v="0"/>
  </r>
  <r>
    <s v="USR_01863"/>
    <s v="A"/>
    <x v="0"/>
    <x v="1"/>
    <x v="1"/>
    <x v="1"/>
    <n v="3"/>
    <n v="0"/>
    <n v="0"/>
  </r>
  <r>
    <s v="USR_01864"/>
    <s v="B"/>
    <x v="1"/>
    <x v="1"/>
    <x v="0"/>
    <x v="0"/>
    <n v="4"/>
    <n v="0"/>
    <n v="0"/>
  </r>
  <r>
    <s v="USR_01865"/>
    <s v="variant_b"/>
    <x v="1"/>
    <x v="3"/>
    <x v="1"/>
    <x v="1"/>
    <n v="7"/>
    <n v="0"/>
    <n v="0"/>
  </r>
  <r>
    <s v="USR_01866"/>
    <s v="control"/>
    <x v="0"/>
    <x v="1"/>
    <x v="0"/>
    <x v="0"/>
    <n v="5"/>
    <n v="1"/>
    <n v="2466.85"/>
  </r>
  <r>
    <s v="USR_01867"/>
    <s v="A"/>
    <x v="0"/>
    <x v="3"/>
    <x v="0"/>
    <x v="0"/>
    <n v="7"/>
    <n v="0"/>
    <n v="0"/>
  </r>
  <r>
    <s v="USR_01868"/>
    <s v="A"/>
    <x v="0"/>
    <x v="1"/>
    <x v="0"/>
    <x v="0"/>
    <n v="6"/>
    <n v="0"/>
    <n v="0"/>
  </r>
  <r>
    <s v="USR_01869"/>
    <s v="A"/>
    <x v="0"/>
    <x v="3"/>
    <x v="1"/>
    <x v="1"/>
    <n v="3"/>
    <n v="0"/>
    <n v="0"/>
  </r>
  <r>
    <s v="USR_01870"/>
    <s v="B"/>
    <x v="1"/>
    <x v="3"/>
    <x v="1"/>
    <x v="1"/>
    <n v="8"/>
    <n v="0"/>
    <n v="0"/>
  </r>
  <r>
    <s v="USR_01871"/>
    <s v="B"/>
    <x v="1"/>
    <x v="3"/>
    <x v="0"/>
    <x v="0"/>
    <n v="13"/>
    <n v="0"/>
    <n v="0"/>
  </r>
  <r>
    <s v="USR_01872"/>
    <s v="A"/>
    <x v="0"/>
    <x v="3"/>
    <x v="0"/>
    <x v="0"/>
    <n v="9"/>
    <n v="0"/>
    <n v="0"/>
  </r>
  <r>
    <s v="USR_01873"/>
    <s v="B"/>
    <x v="1"/>
    <x v="3"/>
    <x v="1"/>
    <x v="1"/>
    <n v="8"/>
    <n v="0"/>
    <n v="0"/>
  </r>
  <r>
    <s v="USR_01874"/>
    <s v="B"/>
    <x v="1"/>
    <x v="3"/>
    <x v="0"/>
    <x v="0"/>
    <n v="7"/>
    <n v="0"/>
    <n v="0"/>
  </r>
  <r>
    <s v="USR_01875"/>
    <s v="B"/>
    <x v="1"/>
    <x v="1"/>
    <x v="0"/>
    <x v="0"/>
    <n v="5"/>
    <n v="0"/>
    <n v="0"/>
  </r>
  <r>
    <s v="USR_01876"/>
    <s v="B"/>
    <x v="1"/>
    <x v="1"/>
    <x v="0"/>
    <x v="0"/>
    <n v="9"/>
    <n v="0"/>
    <n v="0"/>
  </r>
  <r>
    <s v="USR_01877"/>
    <s v="B"/>
    <x v="1"/>
    <x v="3"/>
    <x v="0"/>
    <x v="0"/>
    <n v="7"/>
    <n v="0"/>
    <n v="0"/>
  </r>
  <r>
    <s v="USR_01878"/>
    <s v="B"/>
    <x v="1"/>
    <x v="0"/>
    <x v="0"/>
    <x v="0"/>
    <n v="8"/>
    <n v="0"/>
    <n v="0"/>
  </r>
  <r>
    <s v="USR_01879"/>
    <s v="A"/>
    <x v="0"/>
    <x v="3"/>
    <x v="1"/>
    <x v="1"/>
    <n v="5"/>
    <n v="0"/>
    <n v="0"/>
  </r>
  <r>
    <s v="USR_01880"/>
    <s v="B"/>
    <x v="1"/>
    <x v="1"/>
    <x v="0"/>
    <x v="0"/>
    <n v="5"/>
    <n v="0"/>
    <n v="0"/>
  </r>
  <r>
    <s v="USR_01881"/>
    <s v="B"/>
    <x v="1"/>
    <x v="3"/>
    <x v="1"/>
    <x v="1"/>
    <n v="6"/>
    <n v="1"/>
    <n v="1033.48"/>
  </r>
  <r>
    <s v="USR_01882"/>
    <s v="B"/>
    <x v="1"/>
    <x v="3"/>
    <x v="0"/>
    <x v="0"/>
    <n v="6"/>
    <n v="0"/>
    <n v="0"/>
  </r>
  <r>
    <s v="USR_01883"/>
    <s v="B"/>
    <x v="1"/>
    <x v="1"/>
    <x v="0"/>
    <x v="0"/>
    <n v="11"/>
    <n v="0"/>
    <n v="0"/>
  </r>
  <r>
    <s v="USR_01884"/>
    <s v="B"/>
    <x v="1"/>
    <x v="1"/>
    <x v="0"/>
    <x v="0"/>
    <n v="8"/>
    <n v="1"/>
    <n v="2477.2399999999998"/>
  </r>
  <r>
    <s v="USR_01885"/>
    <s v="A"/>
    <x v="0"/>
    <x v="0"/>
    <x v="1"/>
    <x v="1"/>
    <n v="1"/>
    <n v="1"/>
    <n v="6868.62"/>
  </r>
  <r>
    <s v="USR_01886"/>
    <s v="B"/>
    <x v="1"/>
    <x v="1"/>
    <x v="1"/>
    <x v="1"/>
    <n v="5"/>
    <n v="0"/>
    <n v="0"/>
  </r>
  <r>
    <s v="USR_01887"/>
    <s v="A"/>
    <x v="0"/>
    <x v="2"/>
    <x v="0"/>
    <x v="0"/>
    <n v="7"/>
    <n v="0"/>
    <n v="0"/>
  </r>
  <r>
    <s v="USR_01888"/>
    <s v="A"/>
    <x v="0"/>
    <x v="3"/>
    <x v="0"/>
    <x v="0"/>
    <n v="9"/>
    <n v="0"/>
    <n v="0"/>
  </r>
  <r>
    <s v="USR_01889"/>
    <s v="B"/>
    <x v="1"/>
    <x v="3"/>
    <x v="0"/>
    <x v="0"/>
    <n v="9"/>
    <n v="1"/>
    <n v="1349.76"/>
  </r>
  <r>
    <s v="USR_01890"/>
    <s v="variant_b"/>
    <x v="1"/>
    <x v="3"/>
    <x v="0"/>
    <x v="0"/>
    <n v="4"/>
    <n v="0"/>
    <n v="0"/>
  </r>
  <r>
    <s v="USR_01891"/>
    <s v="A"/>
    <x v="0"/>
    <x v="3"/>
    <x v="0"/>
    <x v="0"/>
    <n v="11"/>
    <n v="0"/>
    <n v="0"/>
  </r>
  <r>
    <s v="USR_01892"/>
    <s v="A"/>
    <x v="0"/>
    <x v="1"/>
    <x v="1"/>
    <x v="1"/>
    <n v="7"/>
    <n v="0"/>
    <n v="0"/>
  </r>
  <r>
    <s v="USR_01893"/>
    <s v="B"/>
    <x v="1"/>
    <x v="1"/>
    <x v="1"/>
    <x v="1"/>
    <n v="3"/>
    <n v="0"/>
    <n v="0"/>
  </r>
  <r>
    <s v="USR_01894"/>
    <s v="A"/>
    <x v="0"/>
    <x v="3"/>
    <x v="0"/>
    <x v="0"/>
    <n v="8"/>
    <n v="0"/>
    <n v="0"/>
  </r>
  <r>
    <s v="USR_01895"/>
    <s v="B"/>
    <x v="1"/>
    <x v="2"/>
    <x v="0"/>
    <x v="0"/>
    <n v="8"/>
    <n v="0"/>
    <n v="0"/>
  </r>
  <r>
    <s v="USR_01896"/>
    <s v="B"/>
    <x v="1"/>
    <x v="0"/>
    <x v="0"/>
    <x v="0"/>
    <n v="4"/>
    <n v="0"/>
    <n v="0"/>
  </r>
  <r>
    <s v="USR_01897"/>
    <s v="B"/>
    <x v="1"/>
    <x v="3"/>
    <x v="1"/>
    <x v="1"/>
    <n v="9"/>
    <n v="0"/>
    <n v="0"/>
  </r>
  <r>
    <s v="USR_01898"/>
    <s v="A"/>
    <x v="0"/>
    <x v="3"/>
    <x v="0"/>
    <x v="0"/>
    <n v="6"/>
    <n v="0"/>
    <n v="0"/>
  </r>
  <r>
    <s v="USR_01899"/>
    <s v="A"/>
    <x v="0"/>
    <x v="3"/>
    <x v="0"/>
    <x v="0"/>
    <n v="9"/>
    <n v="0"/>
    <n v="0"/>
  </r>
  <r>
    <s v="USR_01900"/>
    <s v="B"/>
    <x v="1"/>
    <x v="3"/>
    <x v="0"/>
    <x v="0"/>
    <n v="1"/>
    <n v="0"/>
    <n v="0"/>
  </r>
  <r>
    <s v="USR_01901"/>
    <s v="B"/>
    <x v="1"/>
    <x v="3"/>
    <x v="0"/>
    <x v="0"/>
    <n v="5"/>
    <n v="0"/>
    <n v="0"/>
  </r>
  <r>
    <s v="USR_01902"/>
    <s v="A"/>
    <x v="0"/>
    <x v="1"/>
    <x v="0"/>
    <x v="0"/>
    <n v="3"/>
    <n v="0"/>
    <n v="0"/>
  </r>
  <r>
    <s v="USR_01903"/>
    <s v="B"/>
    <x v="1"/>
    <x v="3"/>
    <x v="0"/>
    <x v="0"/>
    <n v="9"/>
    <n v="0"/>
    <n v="0"/>
  </r>
  <r>
    <s v="USR_01904"/>
    <s v="A"/>
    <x v="0"/>
    <x v="3"/>
    <x v="1"/>
    <x v="1"/>
    <n v="12"/>
    <n v="0"/>
    <n v="0"/>
  </r>
  <r>
    <s v="USR_01905"/>
    <s v="B"/>
    <x v="1"/>
    <x v="2"/>
    <x v="0"/>
    <x v="0"/>
    <n v="12"/>
    <n v="0"/>
    <n v="0"/>
  </r>
  <r>
    <s v="USR_01906"/>
    <s v="A"/>
    <x v="0"/>
    <x v="1"/>
    <x v="0"/>
    <x v="0"/>
    <n v="5"/>
    <n v="0"/>
    <n v="0"/>
  </r>
  <r>
    <s v="USR_01907"/>
    <s v="control"/>
    <x v="0"/>
    <x v="2"/>
    <x v="0"/>
    <x v="0"/>
    <n v="7"/>
    <n v="0"/>
    <n v="0"/>
  </r>
  <r>
    <s v="USR_01908"/>
    <s v="A"/>
    <x v="0"/>
    <x v="3"/>
    <x v="1"/>
    <x v="1"/>
    <n v="4"/>
    <n v="0"/>
    <n v="0"/>
  </r>
  <r>
    <s v="USR_01909"/>
    <s v="A"/>
    <x v="0"/>
    <x v="3"/>
    <x v="0"/>
    <x v="0"/>
    <n v="7"/>
    <n v="0"/>
    <n v="0"/>
  </r>
  <r>
    <s v="USR_01910"/>
    <s v="A"/>
    <x v="0"/>
    <x v="1"/>
    <x v="0"/>
    <x v="0"/>
    <n v="5"/>
    <n v="1"/>
    <n v="2341.4699999999998"/>
  </r>
  <r>
    <s v="USR_01911"/>
    <s v="A"/>
    <x v="0"/>
    <x v="3"/>
    <x v="0"/>
    <x v="0"/>
    <n v="3"/>
    <n v="0"/>
    <n v="0"/>
  </r>
  <r>
    <s v="USR_01912"/>
    <s v="B"/>
    <x v="1"/>
    <x v="3"/>
    <x v="2"/>
    <x v="2"/>
    <n v="4"/>
    <n v="0"/>
    <n v="0"/>
  </r>
  <r>
    <s v="USR_01913"/>
    <s v="variant_b"/>
    <x v="1"/>
    <x v="1"/>
    <x v="0"/>
    <x v="0"/>
    <n v="6"/>
    <n v="0"/>
    <n v="0"/>
  </r>
  <r>
    <s v="USR_01914"/>
    <s v="A"/>
    <x v="0"/>
    <x v="1"/>
    <x v="0"/>
    <x v="0"/>
    <n v="8"/>
    <n v="0"/>
    <n v="0"/>
  </r>
  <r>
    <s v="USR_01915"/>
    <s v="A"/>
    <x v="0"/>
    <x v="3"/>
    <x v="0"/>
    <x v="0"/>
    <n v="2"/>
    <n v="0"/>
    <n v="0"/>
  </r>
  <r>
    <s v="USR_01916"/>
    <s v="B"/>
    <x v="1"/>
    <x v="1"/>
    <x v="0"/>
    <x v="0"/>
    <n v="10"/>
    <n v="0"/>
    <n v="0"/>
  </r>
  <r>
    <s v="USR_01917"/>
    <s v="B"/>
    <x v="1"/>
    <x v="3"/>
    <x v="0"/>
    <x v="0"/>
    <n v="4"/>
    <n v="0"/>
    <n v="0"/>
  </r>
  <r>
    <s v="USR_01918"/>
    <s v="B"/>
    <x v="1"/>
    <x v="3"/>
    <x v="1"/>
    <x v="1"/>
    <n v="9"/>
    <n v="0"/>
    <n v="0"/>
  </r>
  <r>
    <s v="USR_01919"/>
    <s v="A"/>
    <x v="0"/>
    <x v="3"/>
    <x v="1"/>
    <x v="1"/>
    <n v="7"/>
    <n v="0"/>
    <n v="0"/>
  </r>
  <r>
    <s v="USR_01920"/>
    <s v="A"/>
    <x v="0"/>
    <x v="3"/>
    <x v="0"/>
    <x v="0"/>
    <n v="2"/>
    <n v="0"/>
    <n v="0"/>
  </r>
  <r>
    <s v="USR_01921"/>
    <s v="B"/>
    <x v="1"/>
    <x v="3"/>
    <x v="1"/>
    <x v="1"/>
    <n v="2"/>
    <n v="0"/>
    <n v="0"/>
  </r>
  <r>
    <s v="USR_01922"/>
    <s v="A"/>
    <x v="0"/>
    <x v="2"/>
    <x v="0"/>
    <x v="0"/>
    <n v="6"/>
    <n v="0"/>
    <n v="0"/>
  </r>
  <r>
    <s v="USR_01923"/>
    <s v="B"/>
    <x v="1"/>
    <x v="1"/>
    <x v="0"/>
    <x v="0"/>
    <n v="8"/>
    <n v="0"/>
    <n v="0"/>
  </r>
  <r>
    <s v="USR_01924"/>
    <s v="A"/>
    <x v="0"/>
    <x v="1"/>
    <x v="1"/>
    <x v="1"/>
    <n v="3"/>
    <n v="0"/>
    <n v="0"/>
  </r>
  <r>
    <s v="USR_01925"/>
    <s v="B"/>
    <x v="1"/>
    <x v="3"/>
    <x v="1"/>
    <x v="1"/>
    <n v="5"/>
    <n v="0"/>
    <n v="0"/>
  </r>
  <r>
    <s v="USR_01926"/>
    <s v="A"/>
    <x v="0"/>
    <x v="3"/>
    <x v="0"/>
    <x v="0"/>
    <n v="3"/>
    <n v="0"/>
    <n v="0"/>
  </r>
  <r>
    <s v="USR_01927"/>
    <s v="B"/>
    <x v="1"/>
    <x v="3"/>
    <x v="0"/>
    <x v="0"/>
    <n v="5"/>
    <n v="0"/>
    <n v="0"/>
  </r>
  <r>
    <s v="USR_01928"/>
    <s v="B"/>
    <x v="1"/>
    <x v="3"/>
    <x v="1"/>
    <x v="1"/>
    <n v="2"/>
    <n v="0"/>
    <n v="0"/>
  </r>
  <r>
    <s v="USR_01929"/>
    <s v="B"/>
    <x v="1"/>
    <x v="3"/>
    <x v="1"/>
    <x v="1"/>
    <n v="6"/>
    <n v="0"/>
    <n v="0"/>
  </r>
  <r>
    <s v="USR_01930"/>
    <s v="A"/>
    <x v="0"/>
    <x v="0"/>
    <x v="1"/>
    <x v="1"/>
    <n v="9"/>
    <n v="1"/>
    <n v="4497.12"/>
  </r>
  <r>
    <s v="USR_01931"/>
    <s v="B"/>
    <x v="1"/>
    <x v="1"/>
    <x v="0"/>
    <x v="0"/>
    <n v="7"/>
    <n v="0"/>
    <n v="0"/>
  </r>
  <r>
    <s v="USR_01932"/>
    <s v="B"/>
    <x v="1"/>
    <x v="1"/>
    <x v="0"/>
    <x v="0"/>
    <n v="5"/>
    <n v="1"/>
    <n v="2006.16"/>
  </r>
  <r>
    <s v="USR_01933"/>
    <s v="B"/>
    <x v="1"/>
    <x v="1"/>
    <x v="0"/>
    <x v="0"/>
    <n v="10"/>
    <n v="0"/>
    <n v="0"/>
  </r>
  <r>
    <s v="USR_01934"/>
    <s v="B"/>
    <x v="1"/>
    <x v="2"/>
    <x v="0"/>
    <x v="0"/>
    <n v="3"/>
    <n v="0"/>
    <n v="0"/>
  </r>
  <r>
    <s v="USR_01935"/>
    <s v="B"/>
    <x v="1"/>
    <x v="3"/>
    <x v="1"/>
    <x v="1"/>
    <n v="4"/>
    <n v="1"/>
    <n v="1462.41"/>
  </r>
  <r>
    <s v="USR_01936"/>
    <s v="B"/>
    <x v="1"/>
    <x v="3"/>
    <x v="0"/>
    <x v="0"/>
    <n v="7"/>
    <n v="0"/>
    <n v="0"/>
  </r>
  <r>
    <s v="USR_01937"/>
    <s v="A"/>
    <x v="0"/>
    <x v="3"/>
    <x v="0"/>
    <x v="0"/>
    <n v="6"/>
    <n v="0"/>
    <n v="0"/>
  </r>
  <r>
    <s v="USR_01938"/>
    <s v="B"/>
    <x v="1"/>
    <x v="0"/>
    <x v="1"/>
    <x v="1"/>
    <n v="4"/>
    <n v="1"/>
    <n v="2986.94"/>
  </r>
  <r>
    <s v="USR_01939"/>
    <s v="B"/>
    <x v="1"/>
    <x v="2"/>
    <x v="0"/>
    <x v="0"/>
    <n v="2"/>
    <n v="0"/>
    <n v="0"/>
  </r>
  <r>
    <s v="USR_01940"/>
    <s v="A"/>
    <x v="0"/>
    <x v="3"/>
    <x v="0"/>
    <x v="0"/>
    <n v="9"/>
    <n v="0"/>
    <n v="0"/>
  </r>
  <r>
    <s v="USR_01941"/>
    <s v="A"/>
    <x v="0"/>
    <x v="0"/>
    <x v="1"/>
    <x v="1"/>
    <n v="1"/>
    <n v="0"/>
    <n v="0"/>
  </r>
  <r>
    <s v="USR_01942"/>
    <s v="A"/>
    <x v="0"/>
    <x v="0"/>
    <x v="0"/>
    <x v="0"/>
    <n v="7"/>
    <n v="1"/>
    <n v="5132.88"/>
  </r>
  <r>
    <s v="USR_01943"/>
    <s v="B"/>
    <x v="1"/>
    <x v="3"/>
    <x v="1"/>
    <x v="1"/>
    <n v="5"/>
    <n v="0"/>
    <n v="0"/>
  </r>
  <r>
    <s v="USR_01944"/>
    <s v="B"/>
    <x v="1"/>
    <x v="3"/>
    <x v="0"/>
    <x v="0"/>
    <n v="9"/>
    <n v="1"/>
    <n v="1216.18"/>
  </r>
  <r>
    <s v="USR_01945"/>
    <s v="B"/>
    <x v="1"/>
    <x v="3"/>
    <x v="1"/>
    <x v="1"/>
    <n v="5"/>
    <n v="0"/>
    <n v="0"/>
  </r>
  <r>
    <s v="USR_01946"/>
    <s v="B"/>
    <x v="1"/>
    <x v="2"/>
    <x v="1"/>
    <x v="1"/>
    <n v="6"/>
    <n v="0"/>
    <n v="0"/>
  </r>
  <r>
    <s v="USR_01947"/>
    <s v="A"/>
    <x v="0"/>
    <x v="3"/>
    <x v="0"/>
    <x v="0"/>
    <n v="4"/>
    <n v="0"/>
    <n v="0"/>
  </r>
  <r>
    <s v="USR_01948"/>
    <s v="A"/>
    <x v="0"/>
    <x v="0"/>
    <x v="0"/>
    <x v="0"/>
    <n v="6"/>
    <n v="1"/>
    <n v="5747.09"/>
  </r>
  <r>
    <s v="USR_01949"/>
    <s v="A"/>
    <x v="0"/>
    <x v="3"/>
    <x v="0"/>
    <x v="0"/>
    <n v="2"/>
    <n v="0"/>
    <n v="0"/>
  </r>
  <r>
    <s v="USR_01950"/>
    <s v="A"/>
    <x v="0"/>
    <x v="1"/>
    <x v="0"/>
    <x v="0"/>
    <n v="4"/>
    <n v="1"/>
    <n v="1862.88"/>
  </r>
  <r>
    <s v="USR_01951"/>
    <s v="A"/>
    <x v="0"/>
    <x v="1"/>
    <x v="1"/>
    <x v="1"/>
    <n v="8"/>
    <n v="0"/>
    <n v="0"/>
  </r>
  <r>
    <s v="USR_01952"/>
    <s v="A"/>
    <x v="0"/>
    <x v="1"/>
    <x v="0"/>
    <x v="0"/>
    <n v="8"/>
    <n v="0"/>
    <n v="0"/>
  </r>
  <r>
    <s v="USR_01953"/>
    <s v="B"/>
    <x v="1"/>
    <x v="0"/>
    <x v="0"/>
    <x v="0"/>
    <n v="6"/>
    <n v="0"/>
    <n v="0"/>
  </r>
  <r>
    <s v="USR_01954"/>
    <s v="B"/>
    <x v="1"/>
    <x v="0"/>
    <x v="0"/>
    <x v="0"/>
    <n v="6"/>
    <n v="0"/>
    <n v="0"/>
  </r>
  <r>
    <s v="USR_01955"/>
    <s v="variant_b"/>
    <x v="1"/>
    <x v="0"/>
    <x v="1"/>
    <x v="1"/>
    <n v="6"/>
    <n v="0"/>
    <n v="0"/>
  </r>
  <r>
    <s v="USR_01956"/>
    <s v="control"/>
    <x v="0"/>
    <x v="3"/>
    <x v="0"/>
    <x v="0"/>
    <n v="7"/>
    <n v="0"/>
    <n v="0"/>
  </r>
  <r>
    <s v="USR_01957"/>
    <s v="B"/>
    <x v="1"/>
    <x v="1"/>
    <x v="1"/>
    <x v="1"/>
    <n v="9"/>
    <n v="1"/>
    <n v="2781.11"/>
  </r>
  <r>
    <s v="USR_01958"/>
    <s v="A"/>
    <x v="0"/>
    <x v="3"/>
    <x v="1"/>
    <x v="1"/>
    <n v="5"/>
    <n v="0"/>
    <n v="0"/>
  </r>
  <r>
    <s v="USR_01959"/>
    <s v="B"/>
    <x v="1"/>
    <x v="3"/>
    <x v="1"/>
    <x v="1"/>
    <n v="10"/>
    <n v="1"/>
    <n v="1307.03"/>
  </r>
  <r>
    <s v="USR_01960"/>
    <s v="B"/>
    <x v="1"/>
    <x v="1"/>
    <x v="1"/>
    <x v="1"/>
    <n v="5"/>
    <n v="0"/>
    <n v="0"/>
  </r>
  <r>
    <s v="USR_01961"/>
    <s v="A"/>
    <x v="0"/>
    <x v="3"/>
    <x v="1"/>
    <x v="1"/>
    <n v="4"/>
    <n v="0"/>
    <n v="0"/>
  </r>
  <r>
    <s v="USR_01962"/>
    <s v="A"/>
    <x v="0"/>
    <x v="1"/>
    <x v="0"/>
    <x v="0"/>
    <n v="10"/>
    <n v="0"/>
    <n v="0"/>
  </r>
  <r>
    <s v="USR_01963"/>
    <s v="B"/>
    <x v="1"/>
    <x v="2"/>
    <x v="1"/>
    <x v="1"/>
    <n v="4"/>
    <n v="0"/>
    <n v="0"/>
  </r>
  <r>
    <s v="USR_01964"/>
    <s v="A"/>
    <x v="0"/>
    <x v="3"/>
    <x v="1"/>
    <x v="1"/>
    <n v="6"/>
    <n v="0"/>
    <n v="0"/>
  </r>
  <r>
    <s v="USR_01965"/>
    <s v="B"/>
    <x v="1"/>
    <x v="1"/>
    <x v="0"/>
    <x v="0"/>
    <n v="7"/>
    <n v="0"/>
    <n v="0"/>
  </r>
  <r>
    <s v="USR_01966"/>
    <s v="B"/>
    <x v="1"/>
    <x v="3"/>
    <x v="0"/>
    <x v="0"/>
    <n v="8"/>
    <n v="0"/>
    <n v="0"/>
  </r>
  <r>
    <s v="USR_01967"/>
    <s v="A"/>
    <x v="0"/>
    <x v="3"/>
    <x v="0"/>
    <x v="0"/>
    <n v="4"/>
    <n v="0"/>
    <n v="0"/>
  </r>
  <r>
    <s v="USR_01968"/>
    <s v="A"/>
    <x v="0"/>
    <x v="3"/>
    <x v="0"/>
    <x v="0"/>
    <n v="6"/>
    <n v="0"/>
    <n v="0"/>
  </r>
  <r>
    <s v="USR_01969"/>
    <s v="A"/>
    <x v="0"/>
    <x v="2"/>
    <x v="1"/>
    <x v="1"/>
    <n v="2"/>
    <n v="0"/>
    <n v="0"/>
  </r>
  <r>
    <s v="USR_01970"/>
    <s v="A"/>
    <x v="0"/>
    <x v="0"/>
    <x v="0"/>
    <x v="0"/>
    <n v="9"/>
    <n v="0"/>
    <n v="0"/>
  </r>
  <r>
    <s v="USR_01971"/>
    <s v="A"/>
    <x v="0"/>
    <x v="0"/>
    <x v="0"/>
    <x v="0"/>
    <n v="6"/>
    <n v="0"/>
    <n v="0"/>
  </r>
  <r>
    <s v="USR_01972"/>
    <s v="B"/>
    <x v="1"/>
    <x v="2"/>
    <x v="1"/>
    <x v="1"/>
    <n v="3"/>
    <n v="0"/>
    <n v="0"/>
  </r>
  <r>
    <s v="USR_01973"/>
    <s v="A"/>
    <x v="0"/>
    <x v="3"/>
    <x v="0"/>
    <x v="0"/>
    <n v="7"/>
    <n v="0"/>
    <n v="0"/>
  </r>
  <r>
    <s v="USR_01974"/>
    <s v="B"/>
    <x v="1"/>
    <x v="3"/>
    <x v="0"/>
    <x v="0"/>
    <n v="7"/>
    <n v="0"/>
    <n v="0"/>
  </r>
  <r>
    <s v="USR_01975"/>
    <s v="A"/>
    <x v="0"/>
    <x v="1"/>
    <x v="1"/>
    <x v="1"/>
    <n v="6"/>
    <n v="0"/>
    <n v="0"/>
  </r>
  <r>
    <s v="USR_01976"/>
    <s v="control"/>
    <x v="0"/>
    <x v="1"/>
    <x v="0"/>
    <x v="0"/>
    <n v="7"/>
    <n v="0"/>
    <n v="0"/>
  </r>
  <r>
    <s v="USR_01977"/>
    <s v="A"/>
    <x v="0"/>
    <x v="3"/>
    <x v="1"/>
    <x v="1"/>
    <n v="5"/>
    <n v="0"/>
    <n v="0"/>
  </r>
  <r>
    <s v="USR_01978"/>
    <s v="A"/>
    <x v="0"/>
    <x v="3"/>
    <x v="0"/>
    <x v="0"/>
    <n v="8"/>
    <n v="0"/>
    <n v="0"/>
  </r>
  <r>
    <s v="USR_01979"/>
    <s v="B"/>
    <x v="1"/>
    <x v="1"/>
    <x v="1"/>
    <x v="1"/>
    <n v="4"/>
    <n v="0"/>
    <n v="0"/>
  </r>
  <r>
    <s v="USR_01980"/>
    <s v="B"/>
    <x v="1"/>
    <x v="1"/>
    <x v="0"/>
    <x v="0"/>
    <n v="1"/>
    <n v="0"/>
    <n v="0"/>
  </r>
  <r>
    <s v="USR_01981"/>
    <s v="A"/>
    <x v="0"/>
    <x v="3"/>
    <x v="0"/>
    <x v="0"/>
    <n v="6"/>
    <n v="0"/>
    <n v="0"/>
  </r>
  <r>
    <s v="USR_01982"/>
    <s v="B"/>
    <x v="1"/>
    <x v="1"/>
    <x v="1"/>
    <x v="1"/>
    <n v="3"/>
    <n v="0"/>
    <n v="0"/>
  </r>
  <r>
    <s v="USR_01983"/>
    <s v="A"/>
    <x v="0"/>
    <x v="1"/>
    <x v="1"/>
    <x v="1"/>
    <n v="6"/>
    <n v="0"/>
    <n v="0"/>
  </r>
  <r>
    <s v="USR_01984"/>
    <s v="B"/>
    <x v="1"/>
    <x v="1"/>
    <x v="0"/>
    <x v="0"/>
    <n v="10"/>
    <n v="0"/>
    <n v="0"/>
  </r>
  <r>
    <s v="USR_01985"/>
    <s v="A"/>
    <x v="0"/>
    <x v="3"/>
    <x v="0"/>
    <x v="0"/>
    <n v="2"/>
    <n v="0"/>
    <n v="0"/>
  </r>
  <r>
    <s v="USR_01986"/>
    <s v="A"/>
    <x v="0"/>
    <x v="1"/>
    <x v="0"/>
    <x v="0"/>
    <n v="6"/>
    <n v="0"/>
    <n v="0"/>
  </r>
  <r>
    <s v="USR_01987"/>
    <s v="B"/>
    <x v="1"/>
    <x v="3"/>
    <x v="0"/>
    <x v="0"/>
    <n v="6"/>
    <n v="0"/>
    <n v="0"/>
  </r>
  <r>
    <s v="USR_01988"/>
    <s v="B"/>
    <x v="1"/>
    <x v="3"/>
    <x v="0"/>
    <x v="0"/>
    <n v="4"/>
    <n v="0"/>
    <n v="0"/>
  </r>
  <r>
    <s v="USR_01989"/>
    <s v="A"/>
    <x v="0"/>
    <x v="0"/>
    <x v="0"/>
    <x v="0"/>
    <n v="5"/>
    <n v="0"/>
    <n v="0"/>
  </r>
  <r>
    <s v="USR_01990"/>
    <s v="B"/>
    <x v="1"/>
    <x v="1"/>
    <x v="0"/>
    <x v="0"/>
    <n v="5"/>
    <n v="0"/>
    <n v="0"/>
  </r>
  <r>
    <s v="USR_01991"/>
    <s v="B"/>
    <x v="1"/>
    <x v="3"/>
    <x v="1"/>
    <x v="1"/>
    <n v="7"/>
    <n v="0"/>
    <n v="0"/>
  </r>
  <r>
    <s v="USR_01992"/>
    <s v="A"/>
    <x v="0"/>
    <x v="1"/>
    <x v="0"/>
    <x v="0"/>
    <n v="9"/>
    <n v="1"/>
    <n v="2157.0300000000002"/>
  </r>
  <r>
    <s v="USR_01993"/>
    <s v="B"/>
    <x v="1"/>
    <x v="1"/>
    <x v="0"/>
    <x v="0"/>
    <n v="4"/>
    <n v="0"/>
    <n v="0"/>
  </r>
  <r>
    <s v="USR_01994"/>
    <s v="A"/>
    <x v="0"/>
    <x v="0"/>
    <x v="0"/>
    <x v="0"/>
    <n v="5"/>
    <n v="0"/>
    <n v="0"/>
  </r>
  <r>
    <s v="USR_01995"/>
    <s v="B"/>
    <x v="1"/>
    <x v="1"/>
    <x v="1"/>
    <x v="1"/>
    <n v="6"/>
    <n v="0"/>
    <n v="0"/>
  </r>
  <r>
    <s v="USR_01996"/>
    <s v="B"/>
    <x v="1"/>
    <x v="1"/>
    <x v="1"/>
    <x v="1"/>
    <n v="2"/>
    <n v="0"/>
    <n v="0"/>
  </r>
  <r>
    <s v="USR_01997"/>
    <s v="control"/>
    <x v="0"/>
    <x v="1"/>
    <x v="1"/>
    <x v="1"/>
    <n v="8"/>
    <n v="1"/>
    <n v="2412.27"/>
  </r>
  <r>
    <s v="USR_01998"/>
    <s v="A"/>
    <x v="0"/>
    <x v="3"/>
    <x v="1"/>
    <x v="1"/>
    <n v="2"/>
    <n v="0"/>
    <n v="0"/>
  </r>
  <r>
    <s v="USR_01999"/>
    <s v="A"/>
    <x v="0"/>
    <x v="3"/>
    <x v="0"/>
    <x v="0"/>
    <n v="5"/>
    <n v="0"/>
    <n v="0"/>
  </r>
  <r>
    <s v="USR_02000"/>
    <s v="A"/>
    <x v="0"/>
    <x v="3"/>
    <x v="1"/>
    <x v="1"/>
    <n v="12"/>
    <n v="0"/>
    <n v="0"/>
  </r>
  <r>
    <s v="USR_02001"/>
    <s v="A"/>
    <x v="0"/>
    <x v="1"/>
    <x v="0"/>
    <x v="0"/>
    <n v="7"/>
    <n v="1"/>
    <n v="2126.8200000000002"/>
  </r>
  <r>
    <s v="USR_02002"/>
    <s v="A"/>
    <x v="0"/>
    <x v="1"/>
    <x v="0"/>
    <x v="0"/>
    <n v="5"/>
    <n v="1"/>
    <n v="2659.09"/>
  </r>
  <r>
    <s v="USR_02003"/>
    <s v="B"/>
    <x v="1"/>
    <x v="3"/>
    <x v="0"/>
    <x v="0"/>
    <n v="6"/>
    <n v="0"/>
    <n v="0"/>
  </r>
  <r>
    <s v="USR_02004"/>
    <s v="A"/>
    <x v="0"/>
    <x v="3"/>
    <x v="1"/>
    <x v="1"/>
    <n v="9"/>
    <n v="0"/>
    <n v="0"/>
  </r>
  <r>
    <s v="USR_02005"/>
    <s v="A"/>
    <x v="0"/>
    <x v="1"/>
    <x v="0"/>
    <x v="0"/>
    <n v="1"/>
    <n v="0"/>
    <n v="0"/>
  </r>
  <r>
    <s v="USR_02006"/>
    <s v="B"/>
    <x v="1"/>
    <x v="3"/>
    <x v="0"/>
    <x v="0"/>
    <n v="9"/>
    <n v="0"/>
    <n v="0"/>
  </r>
  <r>
    <s v="USR_02007"/>
    <s v="A"/>
    <x v="0"/>
    <x v="1"/>
    <x v="1"/>
    <x v="1"/>
    <n v="7"/>
    <n v="1"/>
    <n v="2144.31"/>
  </r>
  <r>
    <s v="USR_02008"/>
    <s v="B"/>
    <x v="1"/>
    <x v="3"/>
    <x v="0"/>
    <x v="0"/>
    <n v="4"/>
    <n v="0"/>
    <n v="0"/>
  </r>
  <r>
    <s v="USR_02009"/>
    <s v="A"/>
    <x v="0"/>
    <x v="1"/>
    <x v="0"/>
    <x v="0"/>
    <n v="3"/>
    <n v="0"/>
    <n v="0"/>
  </r>
  <r>
    <s v="USR_02010"/>
    <s v="B"/>
    <x v="1"/>
    <x v="2"/>
    <x v="0"/>
    <x v="0"/>
    <n v="9"/>
    <n v="0"/>
    <n v="0"/>
  </r>
  <r>
    <s v="USR_02011"/>
    <s v="A"/>
    <x v="0"/>
    <x v="3"/>
    <x v="0"/>
    <x v="0"/>
    <n v="4"/>
    <n v="0"/>
    <n v="0"/>
  </r>
  <r>
    <s v="USR_02012"/>
    <s v="A"/>
    <x v="0"/>
    <x v="1"/>
    <x v="1"/>
    <x v="1"/>
    <n v="4"/>
    <n v="0"/>
    <n v="0"/>
  </r>
  <r>
    <s v="USR_02013"/>
    <s v="B"/>
    <x v="1"/>
    <x v="3"/>
    <x v="0"/>
    <x v="0"/>
    <n v="8"/>
    <n v="1"/>
    <n v="1122.8900000000001"/>
  </r>
  <r>
    <s v="USR_02014"/>
    <s v="A"/>
    <x v="0"/>
    <x v="1"/>
    <x v="0"/>
    <x v="0"/>
    <n v="6"/>
    <n v="0"/>
    <n v="0"/>
  </r>
  <r>
    <s v="USR_02015"/>
    <s v="B"/>
    <x v="1"/>
    <x v="1"/>
    <x v="0"/>
    <x v="0"/>
    <n v="12"/>
    <n v="0"/>
    <n v="0"/>
  </r>
  <r>
    <s v="USR_02016"/>
    <s v="A"/>
    <x v="0"/>
    <x v="3"/>
    <x v="0"/>
    <x v="0"/>
    <n v="7"/>
    <n v="0"/>
    <n v="0"/>
  </r>
  <r>
    <s v="USR_02017"/>
    <s v="A"/>
    <x v="0"/>
    <x v="1"/>
    <x v="0"/>
    <x v="0"/>
    <n v="7"/>
    <n v="0"/>
    <n v="0"/>
  </r>
  <r>
    <s v="USR_02018"/>
    <s v="B"/>
    <x v="1"/>
    <x v="0"/>
    <x v="0"/>
    <x v="0"/>
    <n v="9"/>
    <n v="0"/>
    <n v="0"/>
  </r>
  <r>
    <s v="USR_02019"/>
    <s v="A"/>
    <x v="0"/>
    <x v="3"/>
    <x v="0"/>
    <x v="0"/>
    <n v="3"/>
    <n v="1"/>
    <n v="1434.73"/>
  </r>
  <r>
    <s v="USR_02020"/>
    <s v="B"/>
    <x v="1"/>
    <x v="3"/>
    <x v="1"/>
    <x v="1"/>
    <n v="5"/>
    <n v="0"/>
    <n v="0"/>
  </r>
  <r>
    <s v="USR_02021"/>
    <s v="variant_b"/>
    <x v="1"/>
    <x v="0"/>
    <x v="1"/>
    <x v="1"/>
    <n v="4"/>
    <n v="0"/>
    <n v="0"/>
  </r>
  <r>
    <s v="USR_02022"/>
    <s v="B"/>
    <x v="1"/>
    <x v="1"/>
    <x v="1"/>
    <x v="1"/>
    <n v="3"/>
    <n v="0"/>
    <n v="0"/>
  </r>
  <r>
    <s v="USR_02023"/>
    <s v="control"/>
    <x v="0"/>
    <x v="0"/>
    <x v="1"/>
    <x v="1"/>
    <n v="10"/>
    <n v="0"/>
    <n v="0"/>
  </r>
  <r>
    <s v="USR_02024"/>
    <s v="A"/>
    <x v="0"/>
    <x v="1"/>
    <x v="1"/>
    <x v="1"/>
    <n v="4"/>
    <n v="0"/>
    <n v="0"/>
  </r>
  <r>
    <s v="USR_02025"/>
    <s v="A"/>
    <x v="0"/>
    <x v="0"/>
    <x v="1"/>
    <x v="1"/>
    <n v="4"/>
    <n v="0"/>
    <n v="0"/>
  </r>
  <r>
    <s v="USR_02026"/>
    <s v="A"/>
    <x v="0"/>
    <x v="1"/>
    <x v="0"/>
    <x v="0"/>
    <n v="11"/>
    <n v="0"/>
    <n v="0"/>
  </r>
  <r>
    <s v="USR_02027"/>
    <s v="B"/>
    <x v="1"/>
    <x v="1"/>
    <x v="0"/>
    <x v="0"/>
    <n v="6"/>
    <n v="0"/>
    <n v="0"/>
  </r>
  <r>
    <s v="USR_02028"/>
    <s v="variant_b"/>
    <x v="1"/>
    <x v="0"/>
    <x v="2"/>
    <x v="2"/>
    <n v="6"/>
    <n v="0"/>
    <n v="0"/>
  </r>
  <r>
    <s v="USR_02029"/>
    <s v="A"/>
    <x v="0"/>
    <x v="1"/>
    <x v="0"/>
    <x v="0"/>
    <n v="1"/>
    <n v="0"/>
    <n v="0"/>
  </r>
  <r>
    <s v="USR_02030"/>
    <s v="B"/>
    <x v="1"/>
    <x v="3"/>
    <x v="0"/>
    <x v="0"/>
    <n v="2"/>
    <n v="0"/>
    <n v="0"/>
  </r>
  <r>
    <s v="USR_02031"/>
    <s v="A"/>
    <x v="0"/>
    <x v="3"/>
    <x v="1"/>
    <x v="1"/>
    <n v="2"/>
    <n v="0"/>
    <n v="0"/>
  </r>
  <r>
    <s v="USR_02032"/>
    <s v="B"/>
    <x v="1"/>
    <x v="3"/>
    <x v="0"/>
    <x v="0"/>
    <n v="6"/>
    <n v="0"/>
    <n v="0"/>
  </r>
  <r>
    <s v="USR_02033"/>
    <s v="B"/>
    <x v="1"/>
    <x v="3"/>
    <x v="1"/>
    <x v="1"/>
    <n v="4"/>
    <n v="0"/>
    <n v="0"/>
  </r>
  <r>
    <s v="USR_02034"/>
    <s v="variant_b"/>
    <x v="1"/>
    <x v="3"/>
    <x v="1"/>
    <x v="1"/>
    <n v="6"/>
    <n v="0"/>
    <n v="0"/>
  </r>
  <r>
    <s v="USR_02035"/>
    <s v="B"/>
    <x v="1"/>
    <x v="1"/>
    <x v="0"/>
    <x v="0"/>
    <n v="10"/>
    <n v="0"/>
    <n v="0"/>
  </r>
  <r>
    <s v="USR_02036"/>
    <s v="A"/>
    <x v="0"/>
    <x v="1"/>
    <x v="0"/>
    <x v="0"/>
    <n v="6"/>
    <n v="0"/>
    <n v="0"/>
  </r>
  <r>
    <s v="USR_02037"/>
    <s v="A"/>
    <x v="0"/>
    <x v="1"/>
    <x v="0"/>
    <x v="0"/>
    <n v="5"/>
    <n v="0"/>
    <n v="0"/>
  </r>
  <r>
    <s v="USR_02038"/>
    <s v="A"/>
    <x v="0"/>
    <x v="1"/>
    <x v="0"/>
    <x v="0"/>
    <n v="9"/>
    <n v="0"/>
    <n v="0"/>
  </r>
  <r>
    <s v="USR_02039"/>
    <s v="A"/>
    <x v="0"/>
    <x v="3"/>
    <x v="1"/>
    <x v="1"/>
    <n v="5"/>
    <n v="0"/>
    <n v="0"/>
  </r>
  <r>
    <s v="USR_02040"/>
    <s v="A"/>
    <x v="0"/>
    <x v="3"/>
    <x v="1"/>
    <x v="1"/>
    <n v="4"/>
    <n v="0"/>
    <n v="0"/>
  </r>
  <r>
    <s v="USR_02041"/>
    <s v="B"/>
    <x v="1"/>
    <x v="3"/>
    <x v="1"/>
    <x v="1"/>
    <n v="7"/>
    <n v="0"/>
    <n v="0"/>
  </r>
  <r>
    <s v="USR_02042"/>
    <s v="B"/>
    <x v="1"/>
    <x v="1"/>
    <x v="0"/>
    <x v="0"/>
    <n v="8"/>
    <n v="0"/>
    <n v="0"/>
  </r>
  <r>
    <s v="USR_02043"/>
    <s v="B"/>
    <x v="1"/>
    <x v="3"/>
    <x v="1"/>
    <x v="1"/>
    <n v="2"/>
    <n v="0"/>
    <n v="0"/>
  </r>
  <r>
    <s v="USR_02044"/>
    <s v="A"/>
    <x v="0"/>
    <x v="3"/>
    <x v="0"/>
    <x v="0"/>
    <n v="3"/>
    <n v="0"/>
    <n v="0"/>
  </r>
  <r>
    <s v="USR_02045"/>
    <s v="B"/>
    <x v="1"/>
    <x v="3"/>
    <x v="1"/>
    <x v="1"/>
    <n v="8"/>
    <n v="1"/>
    <n v="1134.9100000000001"/>
  </r>
  <r>
    <s v="USR_02046"/>
    <s v="B"/>
    <x v="1"/>
    <x v="0"/>
    <x v="0"/>
    <x v="0"/>
    <n v="6"/>
    <n v="0"/>
    <n v="0"/>
  </r>
  <r>
    <s v="USR_02047"/>
    <s v="A"/>
    <x v="0"/>
    <x v="3"/>
    <x v="1"/>
    <x v="1"/>
    <n v="5"/>
    <n v="0"/>
    <n v="0"/>
  </r>
  <r>
    <s v="USR_02048"/>
    <s v="B"/>
    <x v="1"/>
    <x v="1"/>
    <x v="0"/>
    <x v="0"/>
    <n v="5"/>
    <n v="0"/>
    <n v="0"/>
  </r>
  <r>
    <s v="USR_02049"/>
    <s v="B"/>
    <x v="1"/>
    <x v="1"/>
    <x v="0"/>
    <x v="0"/>
    <n v="2"/>
    <n v="0"/>
    <n v="0"/>
  </r>
  <r>
    <s v="USR_02050"/>
    <s v="A"/>
    <x v="0"/>
    <x v="0"/>
    <x v="0"/>
    <x v="0"/>
    <n v="7"/>
    <n v="0"/>
    <n v="0"/>
  </r>
  <r>
    <s v="USR_02051"/>
    <s v="A"/>
    <x v="0"/>
    <x v="2"/>
    <x v="0"/>
    <x v="0"/>
    <n v="4"/>
    <n v="0"/>
    <n v="0"/>
  </r>
  <r>
    <s v="USR_02052"/>
    <s v="B"/>
    <x v="1"/>
    <x v="3"/>
    <x v="1"/>
    <x v="1"/>
    <n v="12"/>
    <n v="1"/>
    <n v="972.49"/>
  </r>
  <r>
    <s v="USR_02053"/>
    <s v="A"/>
    <x v="0"/>
    <x v="3"/>
    <x v="1"/>
    <x v="1"/>
    <n v="7"/>
    <n v="0"/>
    <n v="0"/>
  </r>
  <r>
    <s v="USR_02054"/>
    <s v="control"/>
    <x v="0"/>
    <x v="0"/>
    <x v="0"/>
    <x v="0"/>
    <n v="10"/>
    <n v="0"/>
    <n v="0"/>
  </r>
  <r>
    <s v="USR_02055"/>
    <s v="B"/>
    <x v="1"/>
    <x v="1"/>
    <x v="0"/>
    <x v="0"/>
    <n v="6"/>
    <n v="0"/>
    <n v="0"/>
  </r>
  <r>
    <s v="USR_02056"/>
    <s v="B"/>
    <x v="1"/>
    <x v="1"/>
    <x v="0"/>
    <x v="0"/>
    <n v="9"/>
    <n v="0"/>
    <n v="0"/>
  </r>
  <r>
    <s v="USR_02057"/>
    <s v="B"/>
    <x v="1"/>
    <x v="1"/>
    <x v="1"/>
    <x v="1"/>
    <n v="6"/>
    <n v="0"/>
    <n v="0"/>
  </r>
  <r>
    <s v="USR_02058"/>
    <s v="A"/>
    <x v="0"/>
    <x v="1"/>
    <x v="0"/>
    <x v="0"/>
    <n v="11"/>
    <n v="0"/>
    <n v="0"/>
  </r>
  <r>
    <s v="USR_02059"/>
    <s v="B"/>
    <x v="1"/>
    <x v="2"/>
    <x v="0"/>
    <x v="0"/>
    <n v="9"/>
    <n v="0"/>
    <n v="0"/>
  </r>
  <r>
    <s v="USR_02060"/>
    <s v="B"/>
    <x v="1"/>
    <x v="2"/>
    <x v="1"/>
    <x v="1"/>
    <n v="6"/>
    <n v="0"/>
    <n v="0"/>
  </r>
  <r>
    <s v="USR_02061"/>
    <s v="A"/>
    <x v="0"/>
    <x v="1"/>
    <x v="1"/>
    <x v="1"/>
    <n v="10"/>
    <n v="0"/>
    <n v="0"/>
  </r>
  <r>
    <s v="USR_02062"/>
    <s v="B"/>
    <x v="1"/>
    <x v="3"/>
    <x v="1"/>
    <x v="1"/>
    <n v="5"/>
    <n v="0"/>
    <n v="0"/>
  </r>
  <r>
    <s v="USR_02063"/>
    <s v="B"/>
    <x v="1"/>
    <x v="0"/>
    <x v="1"/>
    <x v="1"/>
    <n v="7"/>
    <n v="0"/>
    <n v="0"/>
  </r>
  <r>
    <s v="USR_02064"/>
    <s v="A"/>
    <x v="0"/>
    <x v="3"/>
    <x v="1"/>
    <x v="1"/>
    <n v="7"/>
    <n v="0"/>
    <n v="0"/>
  </r>
  <r>
    <s v="USR_02065"/>
    <s v="A"/>
    <x v="0"/>
    <x v="3"/>
    <x v="0"/>
    <x v="0"/>
    <n v="8"/>
    <n v="0"/>
    <n v="0"/>
  </r>
  <r>
    <s v="USR_02066"/>
    <s v="B"/>
    <x v="1"/>
    <x v="0"/>
    <x v="1"/>
    <x v="1"/>
    <n v="2"/>
    <n v="0"/>
    <n v="0"/>
  </r>
  <r>
    <s v="USR_02067"/>
    <s v="A"/>
    <x v="0"/>
    <x v="3"/>
    <x v="0"/>
    <x v="0"/>
    <n v="8"/>
    <n v="0"/>
    <n v="0"/>
  </r>
  <r>
    <s v="USR_02068"/>
    <s v="A"/>
    <x v="0"/>
    <x v="3"/>
    <x v="0"/>
    <x v="0"/>
    <n v="8"/>
    <n v="0"/>
    <n v="0"/>
  </r>
  <r>
    <s v="USR_02069"/>
    <s v="A"/>
    <x v="0"/>
    <x v="3"/>
    <x v="0"/>
    <x v="0"/>
    <n v="6"/>
    <n v="1"/>
    <n v="965.96"/>
  </r>
  <r>
    <s v="USR_02070"/>
    <s v="A"/>
    <x v="0"/>
    <x v="0"/>
    <x v="0"/>
    <x v="0"/>
    <n v="4"/>
    <n v="0"/>
    <n v="0"/>
  </r>
  <r>
    <s v="USR_02071"/>
    <s v="B"/>
    <x v="1"/>
    <x v="1"/>
    <x v="0"/>
    <x v="0"/>
    <n v="4"/>
    <n v="0"/>
    <n v="0"/>
  </r>
  <r>
    <s v="USR_02072"/>
    <s v="B"/>
    <x v="1"/>
    <x v="1"/>
    <x v="0"/>
    <x v="0"/>
    <n v="10"/>
    <n v="0"/>
    <n v="0"/>
  </r>
  <r>
    <s v="USR_02073"/>
    <s v="A"/>
    <x v="0"/>
    <x v="3"/>
    <x v="1"/>
    <x v="1"/>
    <n v="7"/>
    <n v="0"/>
    <n v="0"/>
  </r>
  <r>
    <s v="USR_02074"/>
    <s v="B"/>
    <x v="1"/>
    <x v="1"/>
    <x v="0"/>
    <x v="0"/>
    <n v="5"/>
    <n v="0"/>
    <n v="0"/>
  </r>
  <r>
    <s v="USR_02075"/>
    <s v="B"/>
    <x v="1"/>
    <x v="1"/>
    <x v="0"/>
    <x v="0"/>
    <n v="6"/>
    <n v="0"/>
    <n v="0"/>
  </r>
  <r>
    <s v="USR_02076"/>
    <s v="B"/>
    <x v="1"/>
    <x v="3"/>
    <x v="0"/>
    <x v="0"/>
    <n v="10"/>
    <n v="0"/>
    <n v="0"/>
  </r>
  <r>
    <s v="USR_02077"/>
    <s v="A"/>
    <x v="0"/>
    <x v="3"/>
    <x v="1"/>
    <x v="1"/>
    <n v="8"/>
    <n v="0"/>
    <n v="0"/>
  </r>
  <r>
    <s v="USR_02078"/>
    <s v="A"/>
    <x v="0"/>
    <x v="3"/>
    <x v="1"/>
    <x v="1"/>
    <n v="5"/>
    <n v="0"/>
    <n v="0"/>
  </r>
  <r>
    <s v="USR_02079"/>
    <s v="variant_b"/>
    <x v="1"/>
    <x v="2"/>
    <x v="1"/>
    <x v="1"/>
    <n v="4"/>
    <n v="0"/>
    <n v="0"/>
  </r>
  <r>
    <s v="USR_02080"/>
    <s v="B"/>
    <x v="1"/>
    <x v="1"/>
    <x v="1"/>
    <x v="1"/>
    <n v="5"/>
    <n v="0"/>
    <n v="0"/>
  </r>
  <r>
    <s v="USR_02081"/>
    <s v="A"/>
    <x v="0"/>
    <x v="2"/>
    <x v="0"/>
    <x v="0"/>
    <n v="10"/>
    <n v="0"/>
    <n v="0"/>
  </r>
  <r>
    <s v="USR_02082"/>
    <s v="A"/>
    <x v="0"/>
    <x v="3"/>
    <x v="1"/>
    <x v="1"/>
    <n v="4"/>
    <n v="0"/>
    <n v="0"/>
  </r>
  <r>
    <s v="USR_02083"/>
    <s v="B"/>
    <x v="1"/>
    <x v="0"/>
    <x v="0"/>
    <x v="0"/>
    <n v="4"/>
    <n v="0"/>
    <n v="0"/>
  </r>
  <r>
    <s v="USR_02084"/>
    <s v="B"/>
    <x v="1"/>
    <x v="1"/>
    <x v="0"/>
    <x v="0"/>
    <n v="4"/>
    <n v="0"/>
    <n v="0"/>
  </r>
  <r>
    <s v="USR_02085"/>
    <s v="B"/>
    <x v="1"/>
    <x v="1"/>
    <x v="1"/>
    <x v="1"/>
    <n v="6"/>
    <n v="1"/>
    <n v="1588.12"/>
  </r>
  <r>
    <s v="USR_02086"/>
    <s v="B"/>
    <x v="1"/>
    <x v="2"/>
    <x v="0"/>
    <x v="0"/>
    <n v="9"/>
    <n v="0"/>
    <n v="0"/>
  </r>
  <r>
    <s v="USR_02087"/>
    <s v="A"/>
    <x v="0"/>
    <x v="3"/>
    <x v="1"/>
    <x v="1"/>
    <n v="7"/>
    <n v="0"/>
    <n v="0"/>
  </r>
  <r>
    <s v="USR_02088"/>
    <s v="B"/>
    <x v="1"/>
    <x v="3"/>
    <x v="1"/>
    <x v="1"/>
    <n v="8"/>
    <n v="0"/>
    <n v="0"/>
  </r>
  <r>
    <s v="USR_02089"/>
    <s v="B"/>
    <x v="1"/>
    <x v="1"/>
    <x v="0"/>
    <x v="0"/>
    <n v="9"/>
    <n v="0"/>
    <n v="0"/>
  </r>
  <r>
    <s v="USR_02090"/>
    <s v="A"/>
    <x v="0"/>
    <x v="1"/>
    <x v="0"/>
    <x v="0"/>
    <n v="4"/>
    <n v="1"/>
    <n v="1855.18"/>
  </r>
  <r>
    <s v="USR_02091"/>
    <s v="B"/>
    <x v="1"/>
    <x v="1"/>
    <x v="0"/>
    <x v="0"/>
    <n v="3"/>
    <n v="0"/>
    <n v="0"/>
  </r>
  <r>
    <s v="USR_02092"/>
    <s v="variant_b"/>
    <x v="1"/>
    <x v="3"/>
    <x v="1"/>
    <x v="1"/>
    <n v="4"/>
    <n v="0"/>
    <n v="0"/>
  </r>
  <r>
    <s v="USR_02093"/>
    <s v="A"/>
    <x v="0"/>
    <x v="1"/>
    <x v="1"/>
    <x v="1"/>
    <n v="11"/>
    <n v="0"/>
    <n v="0"/>
  </r>
  <r>
    <s v="USR_02094"/>
    <s v="B"/>
    <x v="1"/>
    <x v="3"/>
    <x v="0"/>
    <x v="0"/>
    <n v="13"/>
    <n v="0"/>
    <n v="0"/>
  </r>
  <r>
    <s v="USR_02095"/>
    <s v="A"/>
    <x v="0"/>
    <x v="1"/>
    <x v="0"/>
    <x v="0"/>
    <n v="4"/>
    <n v="0"/>
    <n v="0"/>
  </r>
  <r>
    <s v="USR_02096"/>
    <s v="B"/>
    <x v="1"/>
    <x v="1"/>
    <x v="1"/>
    <x v="1"/>
    <n v="7"/>
    <n v="0"/>
    <n v="0"/>
  </r>
  <r>
    <s v="USR_02097"/>
    <s v="B"/>
    <x v="1"/>
    <x v="1"/>
    <x v="0"/>
    <x v="0"/>
    <n v="6"/>
    <n v="0"/>
    <n v="0"/>
  </r>
  <r>
    <s v="USR_02098"/>
    <s v="B"/>
    <x v="1"/>
    <x v="3"/>
    <x v="0"/>
    <x v="0"/>
    <n v="7"/>
    <n v="0"/>
    <n v="0"/>
  </r>
  <r>
    <s v="USR_02099"/>
    <s v="B"/>
    <x v="1"/>
    <x v="3"/>
    <x v="0"/>
    <x v="0"/>
    <n v="8"/>
    <n v="0"/>
    <n v="0"/>
  </r>
  <r>
    <s v="USR_02100"/>
    <s v="A"/>
    <x v="0"/>
    <x v="3"/>
    <x v="0"/>
    <x v="0"/>
    <n v="4"/>
    <n v="0"/>
    <n v="0"/>
  </r>
  <r>
    <s v="USR_02101"/>
    <s v="B"/>
    <x v="1"/>
    <x v="3"/>
    <x v="0"/>
    <x v="0"/>
    <n v="10"/>
    <n v="0"/>
    <n v="0"/>
  </r>
  <r>
    <s v="USR_02102"/>
    <s v="B"/>
    <x v="1"/>
    <x v="0"/>
    <x v="0"/>
    <x v="0"/>
    <n v="3"/>
    <n v="0"/>
    <n v="0"/>
  </r>
  <r>
    <s v="USR_02103"/>
    <s v="A"/>
    <x v="0"/>
    <x v="0"/>
    <x v="1"/>
    <x v="1"/>
    <n v="8"/>
    <n v="1"/>
    <n v="4991.67"/>
  </r>
  <r>
    <s v="USR_02104"/>
    <s v="B"/>
    <x v="1"/>
    <x v="3"/>
    <x v="1"/>
    <x v="1"/>
    <n v="9"/>
    <n v="0"/>
    <n v="0"/>
  </r>
  <r>
    <s v="USR_02105"/>
    <s v="B"/>
    <x v="1"/>
    <x v="1"/>
    <x v="0"/>
    <x v="0"/>
    <n v="4"/>
    <n v="0"/>
    <n v="0"/>
  </r>
  <r>
    <s v="USR_02106"/>
    <s v="A"/>
    <x v="0"/>
    <x v="0"/>
    <x v="0"/>
    <x v="0"/>
    <n v="9"/>
    <n v="1"/>
    <n v="5260.84"/>
  </r>
  <r>
    <s v="USR_02107"/>
    <s v="B"/>
    <x v="1"/>
    <x v="0"/>
    <x v="0"/>
    <x v="0"/>
    <n v="5"/>
    <n v="1"/>
    <n v="5684.76"/>
  </r>
  <r>
    <s v="USR_02108"/>
    <s v="B"/>
    <x v="1"/>
    <x v="3"/>
    <x v="0"/>
    <x v="0"/>
    <n v="3"/>
    <n v="0"/>
    <n v="0"/>
  </r>
  <r>
    <s v="USR_02109"/>
    <s v="A"/>
    <x v="0"/>
    <x v="2"/>
    <x v="0"/>
    <x v="0"/>
    <n v="6"/>
    <n v="0"/>
    <n v="0"/>
  </r>
  <r>
    <s v="USR_02110"/>
    <s v="variant_b"/>
    <x v="1"/>
    <x v="3"/>
    <x v="0"/>
    <x v="0"/>
    <n v="4"/>
    <n v="0"/>
    <n v="0"/>
  </r>
  <r>
    <s v="USR_02111"/>
    <s v="A"/>
    <x v="0"/>
    <x v="3"/>
    <x v="1"/>
    <x v="1"/>
    <n v="5"/>
    <n v="0"/>
    <n v="0"/>
  </r>
  <r>
    <s v="USR_02112"/>
    <s v="A"/>
    <x v="0"/>
    <x v="3"/>
    <x v="1"/>
    <x v="1"/>
    <n v="6"/>
    <n v="0"/>
    <n v="0"/>
  </r>
  <r>
    <s v="USR_02113"/>
    <s v="A"/>
    <x v="0"/>
    <x v="1"/>
    <x v="0"/>
    <x v="0"/>
    <n v="7"/>
    <n v="0"/>
    <n v="0"/>
  </r>
  <r>
    <s v="USR_02114"/>
    <s v="B"/>
    <x v="1"/>
    <x v="3"/>
    <x v="0"/>
    <x v="0"/>
    <n v="1"/>
    <n v="0"/>
    <n v="0"/>
  </r>
  <r>
    <s v="USR_02115"/>
    <s v="B"/>
    <x v="1"/>
    <x v="3"/>
    <x v="0"/>
    <x v="0"/>
    <n v="6"/>
    <n v="0"/>
    <n v="0"/>
  </r>
  <r>
    <s v="USR_02116"/>
    <s v="A"/>
    <x v="0"/>
    <x v="3"/>
    <x v="1"/>
    <x v="1"/>
    <n v="7"/>
    <n v="0"/>
    <n v="0"/>
  </r>
  <r>
    <s v="USR_02117"/>
    <s v="A"/>
    <x v="0"/>
    <x v="0"/>
    <x v="1"/>
    <x v="1"/>
    <n v="6"/>
    <n v="0"/>
    <n v="0"/>
  </r>
  <r>
    <s v="USR_02118"/>
    <s v="B"/>
    <x v="1"/>
    <x v="0"/>
    <x v="0"/>
    <x v="0"/>
    <n v="10"/>
    <n v="0"/>
    <n v="0"/>
  </r>
  <r>
    <s v="USR_02119"/>
    <s v="A"/>
    <x v="0"/>
    <x v="3"/>
    <x v="1"/>
    <x v="1"/>
    <n v="7"/>
    <n v="0"/>
    <n v="0"/>
  </r>
  <r>
    <s v="USR_02120"/>
    <s v="B"/>
    <x v="1"/>
    <x v="0"/>
    <x v="1"/>
    <x v="1"/>
    <n v="10"/>
    <n v="0"/>
    <n v="0"/>
  </r>
  <r>
    <s v="USR_02121"/>
    <s v="B"/>
    <x v="1"/>
    <x v="0"/>
    <x v="1"/>
    <x v="1"/>
    <n v="5"/>
    <n v="0"/>
    <n v="0"/>
  </r>
  <r>
    <s v="USR_02122"/>
    <s v="B"/>
    <x v="1"/>
    <x v="1"/>
    <x v="0"/>
    <x v="0"/>
    <n v="15"/>
    <n v="0"/>
    <n v="0"/>
  </r>
  <r>
    <s v="USR_02123"/>
    <s v="variant_b"/>
    <x v="1"/>
    <x v="3"/>
    <x v="1"/>
    <x v="1"/>
    <n v="5"/>
    <n v="0"/>
    <n v="0"/>
  </r>
  <r>
    <s v="USR_02124"/>
    <s v="A"/>
    <x v="0"/>
    <x v="1"/>
    <x v="0"/>
    <x v="0"/>
    <n v="8"/>
    <n v="0"/>
    <n v="0"/>
  </r>
  <r>
    <s v="USR_02125"/>
    <s v="variant_b"/>
    <x v="1"/>
    <x v="2"/>
    <x v="0"/>
    <x v="0"/>
    <n v="6"/>
    <n v="0"/>
    <n v="0"/>
  </r>
  <r>
    <s v="USR_02126"/>
    <s v="B"/>
    <x v="1"/>
    <x v="1"/>
    <x v="0"/>
    <x v="0"/>
    <n v="6"/>
    <n v="0"/>
    <n v="0"/>
  </r>
  <r>
    <s v="USR_02127"/>
    <s v="B"/>
    <x v="1"/>
    <x v="3"/>
    <x v="0"/>
    <x v="0"/>
    <n v="10"/>
    <n v="0"/>
    <n v="0"/>
  </r>
  <r>
    <s v="USR_02128"/>
    <s v="A"/>
    <x v="0"/>
    <x v="1"/>
    <x v="0"/>
    <x v="0"/>
    <n v="10"/>
    <n v="0"/>
    <n v="0"/>
  </r>
  <r>
    <s v="USR_02129"/>
    <s v="B"/>
    <x v="1"/>
    <x v="1"/>
    <x v="0"/>
    <x v="0"/>
    <n v="5"/>
    <n v="0"/>
    <n v="0"/>
  </r>
  <r>
    <s v="USR_02130"/>
    <s v="A"/>
    <x v="0"/>
    <x v="1"/>
    <x v="1"/>
    <x v="1"/>
    <n v="9"/>
    <n v="0"/>
    <n v="0"/>
  </r>
  <r>
    <s v="USR_02131"/>
    <s v="A"/>
    <x v="0"/>
    <x v="3"/>
    <x v="0"/>
    <x v="0"/>
    <n v="1"/>
    <n v="0"/>
    <n v="0"/>
  </r>
  <r>
    <s v="USR_02132"/>
    <s v="A"/>
    <x v="0"/>
    <x v="3"/>
    <x v="0"/>
    <x v="0"/>
    <n v="7"/>
    <n v="0"/>
    <n v="0"/>
  </r>
  <r>
    <s v="USR_02133"/>
    <s v="B"/>
    <x v="1"/>
    <x v="0"/>
    <x v="1"/>
    <x v="1"/>
    <n v="8"/>
    <n v="0"/>
    <n v="0"/>
  </r>
  <r>
    <s v="USR_02134"/>
    <s v="B"/>
    <x v="1"/>
    <x v="0"/>
    <x v="0"/>
    <x v="0"/>
    <n v="7"/>
    <n v="0"/>
    <n v="0"/>
  </r>
  <r>
    <s v="USR_02135"/>
    <s v="B"/>
    <x v="1"/>
    <x v="3"/>
    <x v="0"/>
    <x v="0"/>
    <n v="8"/>
    <n v="0"/>
    <n v="0"/>
  </r>
  <r>
    <s v="USR_02136"/>
    <s v="B"/>
    <x v="1"/>
    <x v="2"/>
    <x v="1"/>
    <x v="1"/>
    <n v="10"/>
    <n v="0"/>
    <n v="0"/>
  </r>
  <r>
    <s v="USR_02137"/>
    <s v="A"/>
    <x v="0"/>
    <x v="3"/>
    <x v="0"/>
    <x v="0"/>
    <n v="6"/>
    <n v="0"/>
    <n v="0"/>
  </r>
  <r>
    <s v="USR_02138"/>
    <s v="B"/>
    <x v="1"/>
    <x v="1"/>
    <x v="1"/>
    <x v="1"/>
    <n v="3"/>
    <n v="0"/>
    <n v="0"/>
  </r>
  <r>
    <s v="USR_02139"/>
    <s v="A"/>
    <x v="0"/>
    <x v="1"/>
    <x v="1"/>
    <x v="1"/>
    <n v="9"/>
    <n v="0"/>
    <n v="0"/>
  </r>
  <r>
    <s v="USR_02140"/>
    <s v="B"/>
    <x v="1"/>
    <x v="0"/>
    <x v="0"/>
    <x v="0"/>
    <n v="4"/>
    <n v="0"/>
    <n v="0"/>
  </r>
  <r>
    <s v="USR_02141"/>
    <s v="B"/>
    <x v="1"/>
    <x v="2"/>
    <x v="1"/>
    <x v="1"/>
    <n v="3"/>
    <n v="0"/>
    <n v="0"/>
  </r>
  <r>
    <s v="USR_02142"/>
    <s v="B"/>
    <x v="1"/>
    <x v="3"/>
    <x v="0"/>
    <x v="0"/>
    <n v="4"/>
    <n v="0"/>
    <n v="0"/>
  </r>
  <r>
    <s v="USR_02143"/>
    <s v="B"/>
    <x v="1"/>
    <x v="0"/>
    <x v="1"/>
    <x v="1"/>
    <n v="6"/>
    <n v="1"/>
    <n v="4476.12"/>
  </r>
  <r>
    <s v="USR_02144"/>
    <s v="A"/>
    <x v="0"/>
    <x v="3"/>
    <x v="0"/>
    <x v="0"/>
    <n v="5"/>
    <n v="0"/>
    <n v="0"/>
  </r>
  <r>
    <s v="USR_02145"/>
    <s v="B"/>
    <x v="1"/>
    <x v="1"/>
    <x v="1"/>
    <x v="1"/>
    <n v="10"/>
    <n v="1"/>
    <n v="2199.35"/>
  </r>
  <r>
    <s v="USR_02146"/>
    <s v="B"/>
    <x v="1"/>
    <x v="1"/>
    <x v="1"/>
    <x v="1"/>
    <n v="8"/>
    <n v="1"/>
    <n v="2234.4299999999998"/>
  </r>
  <r>
    <s v="USR_02147"/>
    <s v="A"/>
    <x v="0"/>
    <x v="1"/>
    <x v="1"/>
    <x v="1"/>
    <n v="6"/>
    <n v="1"/>
    <n v="1968.37"/>
  </r>
  <r>
    <s v="USR_02148"/>
    <s v="A"/>
    <x v="0"/>
    <x v="3"/>
    <x v="0"/>
    <x v="0"/>
    <n v="11"/>
    <n v="0"/>
    <n v="0"/>
  </r>
  <r>
    <s v="USR_02149"/>
    <s v="B"/>
    <x v="1"/>
    <x v="0"/>
    <x v="0"/>
    <x v="0"/>
    <n v="8"/>
    <n v="1"/>
    <n v="5261"/>
  </r>
  <r>
    <s v="USR_02150"/>
    <s v="B"/>
    <x v="1"/>
    <x v="3"/>
    <x v="1"/>
    <x v="1"/>
    <n v="5"/>
    <n v="1"/>
    <n v="1374.83"/>
  </r>
  <r>
    <s v="USR_02151"/>
    <s v="A"/>
    <x v="0"/>
    <x v="3"/>
    <x v="1"/>
    <x v="1"/>
    <n v="3"/>
    <n v="0"/>
    <n v="0"/>
  </r>
  <r>
    <s v="USR_02152"/>
    <s v="A"/>
    <x v="0"/>
    <x v="1"/>
    <x v="0"/>
    <x v="0"/>
    <n v="7"/>
    <n v="0"/>
    <n v="0"/>
  </r>
  <r>
    <s v="USR_02153"/>
    <s v="B"/>
    <x v="1"/>
    <x v="1"/>
    <x v="1"/>
    <x v="1"/>
    <n v="4"/>
    <n v="0"/>
    <n v="0"/>
  </r>
  <r>
    <s v="USR_02154"/>
    <s v="B"/>
    <x v="1"/>
    <x v="0"/>
    <x v="0"/>
    <x v="0"/>
    <n v="4"/>
    <n v="0"/>
    <n v="0"/>
  </r>
  <r>
    <s v="USR_02155"/>
    <s v="A"/>
    <x v="0"/>
    <x v="3"/>
    <x v="0"/>
    <x v="0"/>
    <n v="1"/>
    <n v="0"/>
    <n v="0"/>
  </r>
  <r>
    <s v="USR_02156"/>
    <s v="A"/>
    <x v="0"/>
    <x v="3"/>
    <x v="0"/>
    <x v="0"/>
    <n v="8"/>
    <n v="0"/>
    <n v="0"/>
  </r>
  <r>
    <s v="USR_02157"/>
    <s v="A"/>
    <x v="0"/>
    <x v="0"/>
    <x v="0"/>
    <x v="0"/>
    <n v="10"/>
    <n v="1"/>
    <n v="5172.8100000000004"/>
  </r>
  <r>
    <s v="USR_02158"/>
    <s v="A"/>
    <x v="0"/>
    <x v="1"/>
    <x v="0"/>
    <x v="0"/>
    <n v="7"/>
    <n v="0"/>
    <n v="0"/>
  </r>
  <r>
    <s v="USR_02159"/>
    <s v="A"/>
    <x v="0"/>
    <x v="3"/>
    <x v="0"/>
    <x v="0"/>
    <n v="3"/>
    <n v="0"/>
    <n v="0"/>
  </r>
  <r>
    <s v="USR_02160"/>
    <s v="B"/>
    <x v="1"/>
    <x v="1"/>
    <x v="1"/>
    <x v="1"/>
    <n v="10"/>
    <n v="0"/>
    <n v="0"/>
  </r>
  <r>
    <s v="USR_02161"/>
    <s v="B"/>
    <x v="1"/>
    <x v="1"/>
    <x v="1"/>
    <x v="1"/>
    <n v="4"/>
    <n v="0"/>
    <n v="0"/>
  </r>
  <r>
    <s v="USR_02162"/>
    <s v="B"/>
    <x v="1"/>
    <x v="1"/>
    <x v="0"/>
    <x v="0"/>
    <n v="10"/>
    <n v="0"/>
    <n v="0"/>
  </r>
  <r>
    <s v="USR_02163"/>
    <s v="A"/>
    <x v="0"/>
    <x v="1"/>
    <x v="1"/>
    <x v="1"/>
    <n v="2"/>
    <n v="0"/>
    <n v="0"/>
  </r>
  <r>
    <s v="USR_02164"/>
    <s v="B"/>
    <x v="1"/>
    <x v="0"/>
    <x v="1"/>
    <x v="1"/>
    <n v="9"/>
    <n v="0"/>
    <n v="0"/>
  </r>
  <r>
    <s v="USR_02165"/>
    <s v="B"/>
    <x v="1"/>
    <x v="0"/>
    <x v="1"/>
    <x v="1"/>
    <n v="4"/>
    <n v="0"/>
    <n v="0"/>
  </r>
  <r>
    <s v="USR_02166"/>
    <s v="variant_b"/>
    <x v="1"/>
    <x v="1"/>
    <x v="0"/>
    <x v="0"/>
    <n v="6"/>
    <n v="1"/>
    <n v="1311.39"/>
  </r>
  <r>
    <s v="USR_02167"/>
    <s v="B"/>
    <x v="1"/>
    <x v="3"/>
    <x v="0"/>
    <x v="0"/>
    <n v="9"/>
    <n v="0"/>
    <n v="0"/>
  </r>
  <r>
    <s v="USR_02168"/>
    <s v="A"/>
    <x v="0"/>
    <x v="0"/>
    <x v="0"/>
    <x v="0"/>
    <n v="3"/>
    <n v="1"/>
    <n v="5273.48"/>
  </r>
  <r>
    <s v="USR_02169"/>
    <s v="B"/>
    <x v="1"/>
    <x v="1"/>
    <x v="0"/>
    <x v="0"/>
    <n v="8"/>
    <n v="0"/>
    <n v="0"/>
  </r>
  <r>
    <s v="USR_02170"/>
    <s v="A"/>
    <x v="0"/>
    <x v="1"/>
    <x v="0"/>
    <x v="0"/>
    <n v="5"/>
    <n v="0"/>
    <n v="0"/>
  </r>
  <r>
    <s v="USR_02171"/>
    <s v="B"/>
    <x v="1"/>
    <x v="3"/>
    <x v="0"/>
    <x v="0"/>
    <n v="6"/>
    <n v="0"/>
    <n v="0"/>
  </r>
  <r>
    <s v="USR_02172"/>
    <s v="A"/>
    <x v="0"/>
    <x v="0"/>
    <x v="0"/>
    <x v="0"/>
    <n v="5"/>
    <n v="0"/>
    <n v="0"/>
  </r>
  <r>
    <s v="USR_02173"/>
    <s v="A"/>
    <x v="0"/>
    <x v="1"/>
    <x v="0"/>
    <x v="0"/>
    <n v="9"/>
    <n v="0"/>
    <n v="0"/>
  </r>
  <r>
    <s v="USR_02174"/>
    <s v="B"/>
    <x v="1"/>
    <x v="3"/>
    <x v="1"/>
    <x v="1"/>
    <n v="12"/>
    <n v="1"/>
    <n v="1855.02"/>
  </r>
  <r>
    <s v="USR_02175"/>
    <s v="A"/>
    <x v="0"/>
    <x v="3"/>
    <x v="0"/>
    <x v="0"/>
    <n v="7"/>
    <n v="0"/>
    <n v="0"/>
  </r>
  <r>
    <s v="USR_02176"/>
    <s v="B"/>
    <x v="1"/>
    <x v="0"/>
    <x v="0"/>
    <x v="0"/>
    <n v="2"/>
    <n v="0"/>
    <n v="0"/>
  </r>
  <r>
    <s v="USR_02177"/>
    <s v="A"/>
    <x v="0"/>
    <x v="3"/>
    <x v="2"/>
    <x v="2"/>
    <n v="9"/>
    <n v="0"/>
    <n v="0"/>
  </r>
  <r>
    <s v="USR_02178"/>
    <s v="B"/>
    <x v="1"/>
    <x v="2"/>
    <x v="1"/>
    <x v="1"/>
    <n v="5"/>
    <n v="0"/>
    <n v="0"/>
  </r>
  <r>
    <s v="USR_02179"/>
    <s v="B"/>
    <x v="1"/>
    <x v="1"/>
    <x v="0"/>
    <x v="0"/>
    <n v="9"/>
    <n v="0"/>
    <n v="0"/>
  </r>
  <r>
    <s v="USR_02180"/>
    <s v="B"/>
    <x v="1"/>
    <x v="1"/>
    <x v="0"/>
    <x v="0"/>
    <n v="6"/>
    <n v="1"/>
    <n v="2696.06"/>
  </r>
  <r>
    <s v="USR_02181"/>
    <s v="A"/>
    <x v="0"/>
    <x v="3"/>
    <x v="0"/>
    <x v="0"/>
    <n v="7"/>
    <n v="0"/>
    <n v="0"/>
  </r>
  <r>
    <s v="USR_02182"/>
    <s v="A"/>
    <x v="0"/>
    <x v="3"/>
    <x v="0"/>
    <x v="0"/>
    <n v="7"/>
    <n v="0"/>
    <n v="0"/>
  </r>
  <r>
    <s v="USR_02183"/>
    <s v="A"/>
    <x v="0"/>
    <x v="2"/>
    <x v="1"/>
    <x v="1"/>
    <n v="7"/>
    <n v="0"/>
    <n v="0"/>
  </r>
  <r>
    <s v="USR_02184"/>
    <s v="A"/>
    <x v="0"/>
    <x v="3"/>
    <x v="1"/>
    <x v="1"/>
    <n v="3"/>
    <n v="0"/>
    <n v="0"/>
  </r>
  <r>
    <s v="USR_02185"/>
    <s v="B"/>
    <x v="1"/>
    <x v="0"/>
    <x v="0"/>
    <x v="0"/>
    <n v="5"/>
    <n v="1"/>
    <n v="6141.13"/>
  </r>
  <r>
    <s v="USR_02186"/>
    <s v="control"/>
    <x v="0"/>
    <x v="3"/>
    <x v="1"/>
    <x v="1"/>
    <n v="6"/>
    <n v="0"/>
    <n v="0"/>
  </r>
  <r>
    <s v="USR_02187"/>
    <s v="B"/>
    <x v="1"/>
    <x v="3"/>
    <x v="1"/>
    <x v="1"/>
    <n v="11"/>
    <n v="0"/>
    <n v="0"/>
  </r>
  <r>
    <s v="USR_02188"/>
    <s v="B"/>
    <x v="1"/>
    <x v="3"/>
    <x v="0"/>
    <x v="0"/>
    <n v="5"/>
    <n v="0"/>
    <n v="0"/>
  </r>
  <r>
    <s v="USR_02189"/>
    <s v="B"/>
    <x v="1"/>
    <x v="1"/>
    <x v="0"/>
    <x v="0"/>
    <n v="1"/>
    <n v="0"/>
    <n v="0"/>
  </r>
  <r>
    <s v="USR_02190"/>
    <s v="B"/>
    <x v="1"/>
    <x v="2"/>
    <x v="1"/>
    <x v="1"/>
    <n v="4"/>
    <n v="0"/>
    <n v="0"/>
  </r>
  <r>
    <s v="USR_02191"/>
    <s v="A"/>
    <x v="0"/>
    <x v="3"/>
    <x v="1"/>
    <x v="1"/>
    <n v="6"/>
    <n v="0"/>
    <n v="0"/>
  </r>
  <r>
    <s v="USR_02192"/>
    <s v="B"/>
    <x v="1"/>
    <x v="3"/>
    <x v="0"/>
    <x v="0"/>
    <n v="7"/>
    <n v="0"/>
    <n v="0"/>
  </r>
  <r>
    <s v="USR_02193"/>
    <s v="B"/>
    <x v="1"/>
    <x v="3"/>
    <x v="0"/>
    <x v="0"/>
    <n v="5"/>
    <n v="0"/>
    <n v="0"/>
  </r>
  <r>
    <s v="USR_02194"/>
    <s v="B"/>
    <x v="1"/>
    <x v="1"/>
    <x v="0"/>
    <x v="0"/>
    <n v="5"/>
    <n v="0"/>
    <n v="0"/>
  </r>
  <r>
    <s v="USR_02195"/>
    <s v="A"/>
    <x v="0"/>
    <x v="1"/>
    <x v="1"/>
    <x v="1"/>
    <n v="3"/>
    <n v="0"/>
    <n v="0"/>
  </r>
  <r>
    <s v="USR_02196"/>
    <s v="A"/>
    <x v="0"/>
    <x v="0"/>
    <x v="1"/>
    <x v="1"/>
    <n v="3"/>
    <n v="0"/>
    <n v="0"/>
  </r>
  <r>
    <s v="USR_02197"/>
    <s v="B"/>
    <x v="1"/>
    <x v="1"/>
    <x v="0"/>
    <x v="0"/>
    <n v="5"/>
    <n v="0"/>
    <n v="0"/>
  </r>
  <r>
    <s v="USR_02198"/>
    <s v="B"/>
    <x v="1"/>
    <x v="1"/>
    <x v="1"/>
    <x v="1"/>
    <n v="9"/>
    <n v="0"/>
    <n v="0"/>
  </r>
  <r>
    <s v="USR_02199"/>
    <s v="B"/>
    <x v="1"/>
    <x v="3"/>
    <x v="1"/>
    <x v="1"/>
    <n v="8"/>
    <n v="1"/>
    <n v="1533.35"/>
  </r>
  <r>
    <s v="USR_02200"/>
    <s v="A"/>
    <x v="0"/>
    <x v="2"/>
    <x v="1"/>
    <x v="1"/>
    <n v="5"/>
    <n v="0"/>
    <n v="0"/>
  </r>
  <r>
    <s v="USR_02201"/>
    <s v="variant_b"/>
    <x v="1"/>
    <x v="3"/>
    <x v="0"/>
    <x v="0"/>
    <n v="3"/>
    <n v="0"/>
    <n v="0"/>
  </r>
  <r>
    <s v="USR_02202"/>
    <s v="A"/>
    <x v="0"/>
    <x v="3"/>
    <x v="0"/>
    <x v="0"/>
    <n v="8"/>
    <n v="0"/>
    <n v="0"/>
  </r>
  <r>
    <s v="USR_02203"/>
    <s v="A"/>
    <x v="0"/>
    <x v="1"/>
    <x v="0"/>
    <x v="0"/>
    <n v="8"/>
    <n v="0"/>
    <n v="0"/>
  </r>
  <r>
    <s v="USR_02204"/>
    <s v="A"/>
    <x v="0"/>
    <x v="1"/>
    <x v="0"/>
    <x v="0"/>
    <n v="5"/>
    <n v="0"/>
    <n v="0"/>
  </r>
  <r>
    <s v="USR_02205"/>
    <s v="B"/>
    <x v="1"/>
    <x v="3"/>
    <x v="1"/>
    <x v="1"/>
    <n v="4"/>
    <n v="0"/>
    <n v="0"/>
  </r>
  <r>
    <s v="USR_02206"/>
    <s v="B"/>
    <x v="1"/>
    <x v="1"/>
    <x v="0"/>
    <x v="0"/>
    <n v="7"/>
    <n v="0"/>
    <n v="0"/>
  </r>
  <r>
    <s v="USR_02207"/>
    <s v="A"/>
    <x v="0"/>
    <x v="0"/>
    <x v="0"/>
    <x v="0"/>
    <n v="8"/>
    <n v="1"/>
    <n v="4231.95"/>
  </r>
  <r>
    <s v="USR_02208"/>
    <s v="B"/>
    <x v="1"/>
    <x v="3"/>
    <x v="0"/>
    <x v="0"/>
    <n v="8"/>
    <n v="1"/>
    <n v="1509.19"/>
  </r>
  <r>
    <s v="USR_02209"/>
    <s v="A"/>
    <x v="0"/>
    <x v="0"/>
    <x v="0"/>
    <x v="0"/>
    <n v="1"/>
    <n v="0"/>
    <n v="0"/>
  </r>
  <r>
    <s v="USR_02210"/>
    <s v="B"/>
    <x v="1"/>
    <x v="1"/>
    <x v="1"/>
    <x v="1"/>
    <n v="6"/>
    <n v="0"/>
    <n v="0"/>
  </r>
  <r>
    <s v="USR_02211"/>
    <s v="B"/>
    <x v="1"/>
    <x v="3"/>
    <x v="0"/>
    <x v="0"/>
    <n v="5"/>
    <n v="0"/>
    <n v="0"/>
  </r>
  <r>
    <s v="USR_02212"/>
    <s v="B"/>
    <x v="1"/>
    <x v="1"/>
    <x v="0"/>
    <x v="0"/>
    <n v="8"/>
    <n v="0"/>
    <n v="0"/>
  </r>
  <r>
    <s v="USR_02213"/>
    <s v="A"/>
    <x v="0"/>
    <x v="3"/>
    <x v="0"/>
    <x v="0"/>
    <n v="11"/>
    <n v="0"/>
    <n v="0"/>
  </r>
  <r>
    <s v="USR_02214"/>
    <s v="variant_b"/>
    <x v="1"/>
    <x v="1"/>
    <x v="0"/>
    <x v="0"/>
    <n v="9"/>
    <n v="0"/>
    <n v="0"/>
  </r>
  <r>
    <s v="USR_02215"/>
    <s v="B"/>
    <x v="1"/>
    <x v="1"/>
    <x v="0"/>
    <x v="0"/>
    <n v="10"/>
    <n v="0"/>
    <n v="0"/>
  </r>
  <r>
    <s v="USR_02216"/>
    <s v="A"/>
    <x v="0"/>
    <x v="3"/>
    <x v="1"/>
    <x v="1"/>
    <n v="4"/>
    <n v="0"/>
    <n v="0"/>
  </r>
  <r>
    <s v="USR_02217"/>
    <s v="B"/>
    <x v="1"/>
    <x v="1"/>
    <x v="1"/>
    <x v="1"/>
    <n v="3"/>
    <n v="0"/>
    <n v="0"/>
  </r>
  <r>
    <s v="USR_02218"/>
    <s v="A"/>
    <x v="0"/>
    <x v="2"/>
    <x v="1"/>
    <x v="1"/>
    <n v="5"/>
    <n v="1"/>
    <n v="1516.69"/>
  </r>
  <r>
    <s v="USR_02219"/>
    <s v="B"/>
    <x v="1"/>
    <x v="1"/>
    <x v="1"/>
    <x v="1"/>
    <n v="5"/>
    <n v="0"/>
    <n v="0"/>
  </r>
  <r>
    <s v="USR_02220"/>
    <s v="A"/>
    <x v="0"/>
    <x v="2"/>
    <x v="1"/>
    <x v="1"/>
    <n v="9"/>
    <n v="0"/>
    <n v="0"/>
  </r>
  <r>
    <s v="USR_02221"/>
    <s v="B"/>
    <x v="1"/>
    <x v="3"/>
    <x v="1"/>
    <x v="1"/>
    <n v="7"/>
    <n v="0"/>
    <n v="0"/>
  </r>
  <r>
    <s v="USR_02222"/>
    <s v="B"/>
    <x v="1"/>
    <x v="3"/>
    <x v="0"/>
    <x v="0"/>
    <n v="4"/>
    <n v="0"/>
    <n v="0"/>
  </r>
  <r>
    <s v="USR_02223"/>
    <s v="A"/>
    <x v="0"/>
    <x v="3"/>
    <x v="0"/>
    <x v="0"/>
    <n v="4"/>
    <n v="0"/>
    <n v="0"/>
  </r>
  <r>
    <s v="USR_02224"/>
    <s v="A"/>
    <x v="0"/>
    <x v="3"/>
    <x v="0"/>
    <x v="0"/>
    <n v="4"/>
    <n v="1"/>
    <n v="1598.58"/>
  </r>
  <r>
    <s v="USR_02225"/>
    <s v="A"/>
    <x v="0"/>
    <x v="3"/>
    <x v="0"/>
    <x v="0"/>
    <n v="11"/>
    <n v="0"/>
    <n v="0"/>
  </r>
  <r>
    <s v="USR_02226"/>
    <s v="B"/>
    <x v="1"/>
    <x v="3"/>
    <x v="2"/>
    <x v="2"/>
    <n v="5"/>
    <n v="0"/>
    <n v="0"/>
  </r>
  <r>
    <s v="USR_02227"/>
    <s v="A"/>
    <x v="0"/>
    <x v="0"/>
    <x v="0"/>
    <x v="0"/>
    <n v="5"/>
    <n v="0"/>
    <n v="0"/>
  </r>
  <r>
    <s v="USR_02228"/>
    <s v="B"/>
    <x v="1"/>
    <x v="0"/>
    <x v="0"/>
    <x v="0"/>
    <n v="5"/>
    <n v="0"/>
    <n v="0"/>
  </r>
  <r>
    <s v="USR_02229"/>
    <s v="A"/>
    <x v="0"/>
    <x v="1"/>
    <x v="1"/>
    <x v="1"/>
    <n v="4"/>
    <n v="0"/>
    <n v="0"/>
  </r>
  <r>
    <s v="USR_02230"/>
    <s v="A"/>
    <x v="0"/>
    <x v="3"/>
    <x v="0"/>
    <x v="0"/>
    <n v="5"/>
    <n v="0"/>
    <n v="0"/>
  </r>
  <r>
    <s v="USR_02231"/>
    <s v="B"/>
    <x v="1"/>
    <x v="3"/>
    <x v="0"/>
    <x v="0"/>
    <n v="5"/>
    <n v="0"/>
    <n v="0"/>
  </r>
  <r>
    <s v="USR_02232"/>
    <s v="A"/>
    <x v="0"/>
    <x v="3"/>
    <x v="0"/>
    <x v="0"/>
    <n v="6"/>
    <n v="0"/>
    <n v="0"/>
  </r>
  <r>
    <s v="USR_02233"/>
    <s v="B"/>
    <x v="1"/>
    <x v="1"/>
    <x v="0"/>
    <x v="0"/>
    <n v="9"/>
    <n v="0"/>
    <n v="0"/>
  </r>
  <r>
    <s v="USR_02234"/>
    <s v="B"/>
    <x v="1"/>
    <x v="2"/>
    <x v="1"/>
    <x v="1"/>
    <n v="3"/>
    <n v="0"/>
    <n v="0"/>
  </r>
  <r>
    <s v="USR_02235"/>
    <s v="B"/>
    <x v="1"/>
    <x v="1"/>
    <x v="0"/>
    <x v="0"/>
    <n v="8"/>
    <n v="0"/>
    <n v="0"/>
  </r>
  <r>
    <s v="USR_02236"/>
    <s v="B"/>
    <x v="1"/>
    <x v="3"/>
    <x v="0"/>
    <x v="0"/>
    <n v="3"/>
    <n v="0"/>
    <n v="0"/>
  </r>
  <r>
    <s v="USR_02237"/>
    <s v="B"/>
    <x v="1"/>
    <x v="1"/>
    <x v="1"/>
    <x v="1"/>
    <n v="8"/>
    <n v="1"/>
    <n v="2486.0100000000002"/>
  </r>
  <r>
    <s v="USR_02238"/>
    <s v="A"/>
    <x v="0"/>
    <x v="3"/>
    <x v="0"/>
    <x v="0"/>
    <n v="6"/>
    <n v="0"/>
    <n v="0"/>
  </r>
  <r>
    <s v="USR_02239"/>
    <s v="A"/>
    <x v="0"/>
    <x v="3"/>
    <x v="1"/>
    <x v="1"/>
    <n v="9"/>
    <n v="0"/>
    <n v="0"/>
  </r>
  <r>
    <s v="USR_02240"/>
    <s v="A"/>
    <x v="0"/>
    <x v="1"/>
    <x v="0"/>
    <x v="0"/>
    <n v="7"/>
    <n v="0"/>
    <n v="0"/>
  </r>
  <r>
    <s v="USR_02241"/>
    <s v="B"/>
    <x v="1"/>
    <x v="1"/>
    <x v="1"/>
    <x v="1"/>
    <n v="5"/>
    <n v="0"/>
    <n v="0"/>
  </r>
  <r>
    <s v="USR_02242"/>
    <s v="A"/>
    <x v="0"/>
    <x v="3"/>
    <x v="1"/>
    <x v="1"/>
    <n v="2"/>
    <n v="0"/>
    <n v="0"/>
  </r>
  <r>
    <s v="USR_02243"/>
    <s v="B"/>
    <x v="1"/>
    <x v="3"/>
    <x v="0"/>
    <x v="0"/>
    <n v="4"/>
    <n v="0"/>
    <n v="0"/>
  </r>
  <r>
    <s v="USR_02244"/>
    <s v="variant_b"/>
    <x v="1"/>
    <x v="2"/>
    <x v="1"/>
    <x v="1"/>
    <n v="4"/>
    <n v="0"/>
    <n v="0"/>
  </r>
  <r>
    <s v="USR_02245"/>
    <s v="B"/>
    <x v="1"/>
    <x v="3"/>
    <x v="0"/>
    <x v="0"/>
    <n v="2"/>
    <n v="0"/>
    <n v="0"/>
  </r>
  <r>
    <s v="USR_02246"/>
    <s v="B"/>
    <x v="1"/>
    <x v="3"/>
    <x v="0"/>
    <x v="0"/>
    <n v="5"/>
    <n v="0"/>
    <n v="0"/>
  </r>
  <r>
    <s v="USR_02247"/>
    <s v="A"/>
    <x v="0"/>
    <x v="3"/>
    <x v="1"/>
    <x v="1"/>
    <n v="8"/>
    <n v="0"/>
    <n v="0"/>
  </r>
  <r>
    <s v="USR_02248"/>
    <s v="B"/>
    <x v="1"/>
    <x v="3"/>
    <x v="0"/>
    <x v="0"/>
    <n v="6"/>
    <n v="0"/>
    <n v="0"/>
  </r>
  <r>
    <s v="USR_02249"/>
    <s v="B"/>
    <x v="1"/>
    <x v="3"/>
    <x v="0"/>
    <x v="0"/>
    <n v="6"/>
    <n v="0"/>
    <n v="0"/>
  </r>
  <r>
    <s v="USR_02250"/>
    <s v="A"/>
    <x v="0"/>
    <x v="0"/>
    <x v="1"/>
    <x v="1"/>
    <n v="8"/>
    <n v="1"/>
    <n v="5426.97"/>
  </r>
  <r>
    <s v="USR_02251"/>
    <s v="A"/>
    <x v="0"/>
    <x v="3"/>
    <x v="0"/>
    <x v="0"/>
    <n v="10"/>
    <n v="0"/>
    <n v="0"/>
  </r>
  <r>
    <s v="USR_02252"/>
    <s v="B"/>
    <x v="1"/>
    <x v="1"/>
    <x v="1"/>
    <x v="1"/>
    <n v="6"/>
    <n v="0"/>
    <n v="0"/>
  </r>
  <r>
    <s v="USR_02253"/>
    <s v="B"/>
    <x v="1"/>
    <x v="1"/>
    <x v="0"/>
    <x v="0"/>
    <n v="6"/>
    <n v="0"/>
    <n v="0"/>
  </r>
  <r>
    <s v="USR_02254"/>
    <s v="B"/>
    <x v="1"/>
    <x v="1"/>
    <x v="1"/>
    <x v="1"/>
    <n v="4"/>
    <n v="1"/>
    <n v="2316.52"/>
  </r>
  <r>
    <s v="USR_02255"/>
    <s v="B"/>
    <x v="1"/>
    <x v="0"/>
    <x v="0"/>
    <x v="0"/>
    <n v="11"/>
    <n v="1"/>
    <n v="6186.93"/>
  </r>
  <r>
    <s v="USR_02256"/>
    <s v="B"/>
    <x v="1"/>
    <x v="0"/>
    <x v="1"/>
    <x v="1"/>
    <n v="4"/>
    <n v="0"/>
    <n v="0"/>
  </r>
  <r>
    <s v="USR_02257"/>
    <s v="B"/>
    <x v="1"/>
    <x v="3"/>
    <x v="0"/>
    <x v="0"/>
    <n v="6"/>
    <n v="0"/>
    <n v="0"/>
  </r>
  <r>
    <s v="USR_02258"/>
    <s v="A"/>
    <x v="0"/>
    <x v="0"/>
    <x v="0"/>
    <x v="0"/>
    <n v="3"/>
    <n v="0"/>
    <n v="0"/>
  </r>
  <r>
    <s v="USR_02259"/>
    <s v="A"/>
    <x v="0"/>
    <x v="1"/>
    <x v="1"/>
    <x v="1"/>
    <n v="9"/>
    <n v="0"/>
    <n v="0"/>
  </r>
  <r>
    <s v="USR_02260"/>
    <s v="A"/>
    <x v="0"/>
    <x v="2"/>
    <x v="0"/>
    <x v="0"/>
    <n v="3"/>
    <n v="0"/>
    <n v="0"/>
  </r>
  <r>
    <s v="USR_02261"/>
    <s v="B"/>
    <x v="1"/>
    <x v="1"/>
    <x v="0"/>
    <x v="0"/>
    <n v="8"/>
    <n v="1"/>
    <n v="2086.65"/>
  </r>
  <r>
    <s v="USR_02262"/>
    <s v="B"/>
    <x v="1"/>
    <x v="2"/>
    <x v="0"/>
    <x v="0"/>
    <n v="14"/>
    <n v="0"/>
    <n v="0"/>
  </r>
  <r>
    <s v="USR_02263"/>
    <s v="B"/>
    <x v="1"/>
    <x v="1"/>
    <x v="1"/>
    <x v="1"/>
    <n v="5"/>
    <n v="0"/>
    <n v="0"/>
  </r>
  <r>
    <s v="USR_02264"/>
    <s v="A"/>
    <x v="0"/>
    <x v="3"/>
    <x v="0"/>
    <x v="0"/>
    <n v="5"/>
    <n v="0"/>
    <n v="0"/>
  </r>
  <r>
    <s v="USR_02265"/>
    <s v="B"/>
    <x v="1"/>
    <x v="1"/>
    <x v="1"/>
    <x v="1"/>
    <n v="7"/>
    <n v="0"/>
    <n v="0"/>
  </r>
  <r>
    <s v="USR_02266"/>
    <s v="B"/>
    <x v="1"/>
    <x v="2"/>
    <x v="0"/>
    <x v="0"/>
    <n v="5"/>
    <n v="0"/>
    <n v="0"/>
  </r>
  <r>
    <s v="USR_02267"/>
    <s v="B"/>
    <x v="1"/>
    <x v="0"/>
    <x v="0"/>
    <x v="0"/>
    <n v="5"/>
    <n v="0"/>
    <n v="0"/>
  </r>
  <r>
    <s v="USR_02268"/>
    <s v="B"/>
    <x v="1"/>
    <x v="3"/>
    <x v="0"/>
    <x v="0"/>
    <n v="4"/>
    <n v="0"/>
    <n v="0"/>
  </r>
  <r>
    <s v="USR_02269"/>
    <s v="A"/>
    <x v="0"/>
    <x v="1"/>
    <x v="0"/>
    <x v="0"/>
    <n v="11"/>
    <n v="0"/>
    <n v="0"/>
  </r>
  <r>
    <s v="USR_02270"/>
    <s v="B"/>
    <x v="1"/>
    <x v="3"/>
    <x v="0"/>
    <x v="0"/>
    <n v="5"/>
    <n v="0"/>
    <n v="0"/>
  </r>
  <r>
    <s v="USR_02271"/>
    <s v="A"/>
    <x v="0"/>
    <x v="3"/>
    <x v="0"/>
    <x v="0"/>
    <n v="10"/>
    <n v="0"/>
    <n v="0"/>
  </r>
  <r>
    <s v="USR_02272"/>
    <s v="A"/>
    <x v="0"/>
    <x v="3"/>
    <x v="1"/>
    <x v="1"/>
    <n v="9"/>
    <n v="0"/>
    <n v="0"/>
  </r>
  <r>
    <s v="USR_02273"/>
    <s v="B"/>
    <x v="1"/>
    <x v="3"/>
    <x v="1"/>
    <x v="1"/>
    <n v="8"/>
    <n v="0"/>
    <n v="0"/>
  </r>
  <r>
    <s v="USR_02274"/>
    <s v="B"/>
    <x v="1"/>
    <x v="0"/>
    <x v="0"/>
    <x v="0"/>
    <n v="6"/>
    <n v="0"/>
    <n v="0"/>
  </r>
  <r>
    <s v="USR_02275"/>
    <s v="control"/>
    <x v="0"/>
    <x v="3"/>
    <x v="0"/>
    <x v="0"/>
    <n v="4"/>
    <n v="0"/>
    <n v="0"/>
  </r>
  <r>
    <s v="USR_02276"/>
    <s v="B"/>
    <x v="1"/>
    <x v="0"/>
    <x v="0"/>
    <x v="0"/>
    <n v="8"/>
    <n v="1"/>
    <n v="5990.71"/>
  </r>
  <r>
    <s v="USR_02277"/>
    <s v="B"/>
    <x v="1"/>
    <x v="3"/>
    <x v="0"/>
    <x v="0"/>
    <n v="6"/>
    <n v="0"/>
    <n v="0"/>
  </r>
  <r>
    <s v="USR_02278"/>
    <s v="B"/>
    <x v="1"/>
    <x v="3"/>
    <x v="0"/>
    <x v="0"/>
    <n v="6"/>
    <n v="0"/>
    <n v="0"/>
  </r>
  <r>
    <s v="USR_02279"/>
    <s v="B"/>
    <x v="1"/>
    <x v="3"/>
    <x v="1"/>
    <x v="1"/>
    <n v="10"/>
    <n v="0"/>
    <n v="0"/>
  </r>
  <r>
    <s v="USR_02280"/>
    <s v="A"/>
    <x v="0"/>
    <x v="3"/>
    <x v="1"/>
    <x v="1"/>
    <n v="5"/>
    <n v="1"/>
    <n v="1291.55"/>
  </r>
  <r>
    <s v="USR_02281"/>
    <s v="A"/>
    <x v="0"/>
    <x v="3"/>
    <x v="1"/>
    <x v="1"/>
    <n v="5"/>
    <n v="0"/>
    <n v="0"/>
  </r>
  <r>
    <s v="USR_02282"/>
    <s v="A"/>
    <x v="0"/>
    <x v="3"/>
    <x v="0"/>
    <x v="0"/>
    <n v="8"/>
    <n v="0"/>
    <n v="0"/>
  </r>
  <r>
    <s v="USR_02283"/>
    <s v="B"/>
    <x v="1"/>
    <x v="1"/>
    <x v="0"/>
    <x v="0"/>
    <n v="4"/>
    <n v="0"/>
    <n v="0"/>
  </r>
  <r>
    <s v="USR_02284"/>
    <s v="A"/>
    <x v="0"/>
    <x v="3"/>
    <x v="1"/>
    <x v="1"/>
    <n v="6"/>
    <n v="1"/>
    <n v="1277.6300000000001"/>
  </r>
  <r>
    <s v="USR_02285"/>
    <s v="A"/>
    <x v="0"/>
    <x v="3"/>
    <x v="0"/>
    <x v="0"/>
    <n v="10"/>
    <n v="0"/>
    <n v="0"/>
  </r>
  <r>
    <s v="USR_02286"/>
    <s v="A"/>
    <x v="0"/>
    <x v="3"/>
    <x v="0"/>
    <x v="0"/>
    <n v="6"/>
    <n v="0"/>
    <n v="0"/>
  </r>
  <r>
    <s v="USR_02287"/>
    <s v="variant_b"/>
    <x v="1"/>
    <x v="0"/>
    <x v="1"/>
    <x v="1"/>
    <n v="4"/>
    <n v="0"/>
    <n v="0"/>
  </r>
  <r>
    <s v="USR_02288"/>
    <s v="A"/>
    <x v="0"/>
    <x v="0"/>
    <x v="0"/>
    <x v="0"/>
    <n v="11"/>
    <n v="0"/>
    <n v="0"/>
  </r>
  <r>
    <s v="USR_02289"/>
    <s v="B"/>
    <x v="1"/>
    <x v="1"/>
    <x v="1"/>
    <x v="1"/>
    <n v="5"/>
    <n v="1"/>
    <n v="2612.91"/>
  </r>
  <r>
    <s v="USR_02290"/>
    <s v="A"/>
    <x v="0"/>
    <x v="3"/>
    <x v="0"/>
    <x v="0"/>
    <n v="9"/>
    <n v="0"/>
    <n v="0"/>
  </r>
  <r>
    <s v="USR_02291"/>
    <s v="B"/>
    <x v="1"/>
    <x v="3"/>
    <x v="1"/>
    <x v="1"/>
    <n v="6"/>
    <n v="0"/>
    <n v="0"/>
  </r>
  <r>
    <s v="USR_02292"/>
    <s v="A"/>
    <x v="0"/>
    <x v="2"/>
    <x v="0"/>
    <x v="0"/>
    <n v="5"/>
    <n v="0"/>
    <n v="0"/>
  </r>
  <r>
    <s v="USR_02293"/>
    <s v="A"/>
    <x v="0"/>
    <x v="3"/>
    <x v="0"/>
    <x v="0"/>
    <n v="10"/>
    <n v="0"/>
    <n v="0"/>
  </r>
  <r>
    <s v="USR_02294"/>
    <s v="B"/>
    <x v="1"/>
    <x v="3"/>
    <x v="0"/>
    <x v="0"/>
    <n v="2"/>
    <n v="0"/>
    <n v="0"/>
  </r>
  <r>
    <s v="USR_02295"/>
    <s v="A"/>
    <x v="0"/>
    <x v="3"/>
    <x v="0"/>
    <x v="0"/>
    <n v="7"/>
    <n v="0"/>
    <n v="0"/>
  </r>
  <r>
    <s v="USR_02296"/>
    <s v="A"/>
    <x v="0"/>
    <x v="3"/>
    <x v="2"/>
    <x v="2"/>
    <n v="2"/>
    <n v="0"/>
    <n v="0"/>
  </r>
  <r>
    <s v="USR_02297"/>
    <s v="A"/>
    <x v="0"/>
    <x v="3"/>
    <x v="0"/>
    <x v="0"/>
    <n v="3"/>
    <n v="1"/>
    <n v="1884.37"/>
  </r>
  <r>
    <s v="USR_02298"/>
    <s v="A"/>
    <x v="0"/>
    <x v="0"/>
    <x v="0"/>
    <x v="0"/>
    <n v="8"/>
    <n v="0"/>
    <n v="0"/>
  </r>
  <r>
    <s v="USR_02299"/>
    <s v="A"/>
    <x v="0"/>
    <x v="3"/>
    <x v="0"/>
    <x v="0"/>
    <n v="7"/>
    <n v="0"/>
    <n v="0"/>
  </r>
  <r>
    <s v="USR_02300"/>
    <s v="A"/>
    <x v="0"/>
    <x v="1"/>
    <x v="1"/>
    <x v="1"/>
    <n v="9"/>
    <n v="0"/>
    <n v="0"/>
  </r>
  <r>
    <s v="USR_02301"/>
    <s v="B"/>
    <x v="1"/>
    <x v="3"/>
    <x v="0"/>
    <x v="0"/>
    <n v="5"/>
    <n v="1"/>
    <n v="1326"/>
  </r>
  <r>
    <s v="USR_02302"/>
    <s v="B"/>
    <x v="1"/>
    <x v="3"/>
    <x v="0"/>
    <x v="0"/>
    <n v="7"/>
    <n v="0"/>
    <n v="0"/>
  </r>
  <r>
    <s v="USR_02303"/>
    <s v="B"/>
    <x v="1"/>
    <x v="0"/>
    <x v="0"/>
    <x v="0"/>
    <n v="6"/>
    <n v="0"/>
    <n v="0"/>
  </r>
  <r>
    <s v="USR_02304"/>
    <s v="A"/>
    <x v="0"/>
    <x v="3"/>
    <x v="0"/>
    <x v="0"/>
    <n v="7"/>
    <n v="0"/>
    <n v="0"/>
  </r>
  <r>
    <s v="USR_02305"/>
    <s v="control"/>
    <x v="0"/>
    <x v="0"/>
    <x v="0"/>
    <x v="0"/>
    <n v="8"/>
    <n v="0"/>
    <n v="0"/>
  </r>
  <r>
    <s v="USR_02306"/>
    <s v="A"/>
    <x v="0"/>
    <x v="1"/>
    <x v="1"/>
    <x v="1"/>
    <n v="6"/>
    <n v="0"/>
    <n v="0"/>
  </r>
  <r>
    <s v="USR_02307"/>
    <s v="A"/>
    <x v="0"/>
    <x v="3"/>
    <x v="0"/>
    <x v="0"/>
    <n v="7"/>
    <n v="1"/>
    <n v="856.23"/>
  </r>
  <r>
    <s v="USR_02308"/>
    <s v="B"/>
    <x v="1"/>
    <x v="2"/>
    <x v="0"/>
    <x v="0"/>
    <n v="9"/>
    <n v="0"/>
    <n v="0"/>
  </r>
  <r>
    <s v="USR_02309"/>
    <s v="A"/>
    <x v="0"/>
    <x v="3"/>
    <x v="1"/>
    <x v="1"/>
    <n v="7"/>
    <n v="0"/>
    <n v="0"/>
  </r>
  <r>
    <s v="USR_02310"/>
    <s v="A"/>
    <x v="0"/>
    <x v="0"/>
    <x v="0"/>
    <x v="0"/>
    <n v="3"/>
    <n v="0"/>
    <n v="0"/>
  </r>
  <r>
    <s v="USR_02311"/>
    <s v="B"/>
    <x v="1"/>
    <x v="3"/>
    <x v="1"/>
    <x v="1"/>
    <n v="4"/>
    <n v="0"/>
    <n v="0"/>
  </r>
  <r>
    <s v="USR_02312"/>
    <s v="B"/>
    <x v="1"/>
    <x v="0"/>
    <x v="1"/>
    <x v="1"/>
    <n v="9"/>
    <n v="0"/>
    <n v="0"/>
  </r>
  <r>
    <s v="USR_02313"/>
    <s v="B"/>
    <x v="1"/>
    <x v="3"/>
    <x v="0"/>
    <x v="0"/>
    <n v="8"/>
    <n v="0"/>
    <n v="0"/>
  </r>
  <r>
    <s v="USR_02314"/>
    <s v="B"/>
    <x v="1"/>
    <x v="1"/>
    <x v="0"/>
    <x v="0"/>
    <n v="7"/>
    <n v="0"/>
    <n v="0"/>
  </r>
  <r>
    <s v="USR_02315"/>
    <s v="variant_b"/>
    <x v="1"/>
    <x v="1"/>
    <x v="0"/>
    <x v="0"/>
    <n v="7"/>
    <n v="0"/>
    <n v="0"/>
  </r>
  <r>
    <s v="USR_02316"/>
    <s v="A"/>
    <x v="0"/>
    <x v="2"/>
    <x v="2"/>
    <x v="2"/>
    <n v="8"/>
    <n v="1"/>
    <n v="1122.6300000000001"/>
  </r>
  <r>
    <s v="USR_02317"/>
    <s v="A"/>
    <x v="0"/>
    <x v="0"/>
    <x v="0"/>
    <x v="0"/>
    <n v="5"/>
    <n v="0"/>
    <n v="0"/>
  </r>
  <r>
    <s v="USR_02318"/>
    <s v="A"/>
    <x v="0"/>
    <x v="0"/>
    <x v="1"/>
    <x v="1"/>
    <n v="5"/>
    <n v="0"/>
    <n v="0"/>
  </r>
  <r>
    <s v="USR_02319"/>
    <s v="A"/>
    <x v="0"/>
    <x v="0"/>
    <x v="0"/>
    <x v="0"/>
    <n v="3"/>
    <n v="0"/>
    <n v="0"/>
  </r>
  <r>
    <s v="USR_02320"/>
    <s v="A"/>
    <x v="0"/>
    <x v="3"/>
    <x v="1"/>
    <x v="1"/>
    <n v="3"/>
    <n v="0"/>
    <n v="0"/>
  </r>
  <r>
    <s v="USR_02321"/>
    <s v="B"/>
    <x v="1"/>
    <x v="3"/>
    <x v="0"/>
    <x v="0"/>
    <n v="4"/>
    <n v="0"/>
    <n v="0"/>
  </r>
  <r>
    <s v="USR_02322"/>
    <s v="B"/>
    <x v="1"/>
    <x v="3"/>
    <x v="1"/>
    <x v="1"/>
    <n v="5"/>
    <n v="0"/>
    <n v="0"/>
  </r>
  <r>
    <s v="USR_02323"/>
    <s v="B"/>
    <x v="1"/>
    <x v="3"/>
    <x v="0"/>
    <x v="0"/>
    <n v="9"/>
    <n v="0"/>
    <n v="0"/>
  </r>
  <r>
    <s v="USR_02324"/>
    <s v="A"/>
    <x v="0"/>
    <x v="3"/>
    <x v="1"/>
    <x v="1"/>
    <n v="7"/>
    <n v="0"/>
    <n v="0"/>
  </r>
  <r>
    <s v="USR_02325"/>
    <s v="B"/>
    <x v="1"/>
    <x v="1"/>
    <x v="0"/>
    <x v="0"/>
    <n v="5"/>
    <n v="0"/>
    <n v="0"/>
  </r>
  <r>
    <s v="USR_02326"/>
    <s v="control"/>
    <x v="0"/>
    <x v="3"/>
    <x v="0"/>
    <x v="0"/>
    <n v="8"/>
    <n v="0"/>
    <n v="0"/>
  </r>
  <r>
    <s v="USR_02327"/>
    <s v="B"/>
    <x v="1"/>
    <x v="1"/>
    <x v="0"/>
    <x v="0"/>
    <n v="7"/>
    <n v="0"/>
    <n v="0"/>
  </r>
  <r>
    <s v="USR_02328"/>
    <s v="A"/>
    <x v="0"/>
    <x v="3"/>
    <x v="1"/>
    <x v="1"/>
    <n v="5"/>
    <n v="0"/>
    <n v="0"/>
  </r>
  <r>
    <s v="USR_02329"/>
    <s v="B"/>
    <x v="1"/>
    <x v="3"/>
    <x v="0"/>
    <x v="0"/>
    <n v="6"/>
    <n v="0"/>
    <n v="0"/>
  </r>
  <r>
    <s v="USR_02330"/>
    <s v="A"/>
    <x v="0"/>
    <x v="1"/>
    <x v="1"/>
    <x v="1"/>
    <n v="5"/>
    <n v="0"/>
    <n v="0"/>
  </r>
  <r>
    <s v="USR_02331"/>
    <s v="A"/>
    <x v="0"/>
    <x v="0"/>
    <x v="0"/>
    <x v="0"/>
    <n v="6"/>
    <n v="0"/>
    <n v="0"/>
  </r>
  <r>
    <s v="USR_02332"/>
    <s v="A"/>
    <x v="0"/>
    <x v="1"/>
    <x v="0"/>
    <x v="0"/>
    <n v="4"/>
    <n v="0"/>
    <n v="0"/>
  </r>
  <r>
    <s v="USR_02333"/>
    <s v="B"/>
    <x v="1"/>
    <x v="1"/>
    <x v="1"/>
    <x v="1"/>
    <n v="5"/>
    <n v="0"/>
    <n v="0"/>
  </r>
  <r>
    <s v="USR_02334"/>
    <s v="B"/>
    <x v="1"/>
    <x v="3"/>
    <x v="0"/>
    <x v="0"/>
    <n v="8"/>
    <n v="0"/>
    <n v="0"/>
  </r>
  <r>
    <s v="USR_02335"/>
    <s v="A"/>
    <x v="0"/>
    <x v="1"/>
    <x v="0"/>
    <x v="0"/>
    <n v="3"/>
    <n v="0"/>
    <n v="0"/>
  </r>
  <r>
    <s v="USR_02336"/>
    <s v="A"/>
    <x v="0"/>
    <x v="3"/>
    <x v="0"/>
    <x v="0"/>
    <n v="3"/>
    <n v="0"/>
    <n v="0"/>
  </r>
  <r>
    <s v="USR_02337"/>
    <s v="A"/>
    <x v="0"/>
    <x v="3"/>
    <x v="0"/>
    <x v="0"/>
    <n v="7"/>
    <n v="0"/>
    <n v="0"/>
  </r>
  <r>
    <s v="USR_02338"/>
    <s v="A"/>
    <x v="0"/>
    <x v="3"/>
    <x v="0"/>
    <x v="0"/>
    <n v="5"/>
    <n v="1"/>
    <n v="1680.3"/>
  </r>
  <r>
    <s v="USR_02339"/>
    <s v="A"/>
    <x v="0"/>
    <x v="3"/>
    <x v="1"/>
    <x v="1"/>
    <n v="4"/>
    <n v="0"/>
    <n v="0"/>
  </r>
  <r>
    <s v="USR_02340"/>
    <s v="A"/>
    <x v="0"/>
    <x v="3"/>
    <x v="1"/>
    <x v="1"/>
    <n v="6"/>
    <n v="0"/>
    <n v="0"/>
  </r>
  <r>
    <s v="USR_02341"/>
    <s v="B"/>
    <x v="1"/>
    <x v="2"/>
    <x v="1"/>
    <x v="1"/>
    <n v="6"/>
    <n v="0"/>
    <n v="0"/>
  </r>
  <r>
    <s v="USR_02342"/>
    <s v="A"/>
    <x v="0"/>
    <x v="2"/>
    <x v="0"/>
    <x v="0"/>
    <n v="3"/>
    <n v="1"/>
    <n v="1569.09"/>
  </r>
  <r>
    <s v="USR_02343"/>
    <s v="A"/>
    <x v="0"/>
    <x v="3"/>
    <x v="1"/>
    <x v="1"/>
    <n v="5"/>
    <n v="1"/>
    <n v="1252.27"/>
  </r>
  <r>
    <s v="USR_02344"/>
    <s v="A"/>
    <x v="0"/>
    <x v="3"/>
    <x v="0"/>
    <x v="0"/>
    <n v="3"/>
    <n v="0"/>
    <n v="0"/>
  </r>
  <r>
    <s v="USR_02345"/>
    <s v="control"/>
    <x v="0"/>
    <x v="3"/>
    <x v="0"/>
    <x v="0"/>
    <n v="5"/>
    <n v="0"/>
    <n v="0"/>
  </r>
  <r>
    <s v="USR_02346"/>
    <s v="B"/>
    <x v="1"/>
    <x v="3"/>
    <x v="0"/>
    <x v="0"/>
    <n v="7"/>
    <n v="1"/>
    <n v="979.84"/>
  </r>
  <r>
    <s v="USR_02347"/>
    <s v="B"/>
    <x v="1"/>
    <x v="2"/>
    <x v="0"/>
    <x v="0"/>
    <n v="6"/>
    <n v="0"/>
    <n v="0"/>
  </r>
  <r>
    <s v="USR_02348"/>
    <s v="A"/>
    <x v="0"/>
    <x v="3"/>
    <x v="0"/>
    <x v="0"/>
    <n v="1"/>
    <n v="0"/>
    <n v="0"/>
  </r>
  <r>
    <s v="USR_02349"/>
    <s v="B"/>
    <x v="1"/>
    <x v="1"/>
    <x v="1"/>
    <x v="1"/>
    <n v="7"/>
    <n v="0"/>
    <n v="0"/>
  </r>
  <r>
    <s v="USR_02350"/>
    <s v="A"/>
    <x v="0"/>
    <x v="3"/>
    <x v="1"/>
    <x v="1"/>
    <n v="8"/>
    <n v="0"/>
    <n v="0"/>
  </r>
  <r>
    <s v="USR_02351"/>
    <s v="B"/>
    <x v="1"/>
    <x v="2"/>
    <x v="0"/>
    <x v="0"/>
    <n v="4"/>
    <n v="0"/>
    <n v="0"/>
  </r>
  <r>
    <s v="USR_02352"/>
    <s v="B"/>
    <x v="1"/>
    <x v="3"/>
    <x v="0"/>
    <x v="0"/>
    <n v="4"/>
    <n v="0"/>
    <n v="0"/>
  </r>
  <r>
    <s v="USR_02353"/>
    <s v="B"/>
    <x v="1"/>
    <x v="0"/>
    <x v="0"/>
    <x v="0"/>
    <n v="8"/>
    <n v="0"/>
    <n v="0"/>
  </r>
  <r>
    <s v="USR_02354"/>
    <s v="B"/>
    <x v="1"/>
    <x v="3"/>
    <x v="1"/>
    <x v="1"/>
    <n v="3"/>
    <n v="0"/>
    <n v="0"/>
  </r>
  <r>
    <s v="USR_02355"/>
    <s v="B"/>
    <x v="1"/>
    <x v="1"/>
    <x v="0"/>
    <x v="0"/>
    <n v="4"/>
    <n v="0"/>
    <n v="0"/>
  </r>
  <r>
    <s v="USR_02356"/>
    <s v="A"/>
    <x v="0"/>
    <x v="3"/>
    <x v="1"/>
    <x v="1"/>
    <n v="9"/>
    <n v="0"/>
    <n v="0"/>
  </r>
  <r>
    <s v="USR_02357"/>
    <s v="B"/>
    <x v="1"/>
    <x v="3"/>
    <x v="2"/>
    <x v="2"/>
    <n v="8"/>
    <n v="0"/>
    <n v="0"/>
  </r>
  <r>
    <s v="USR_02358"/>
    <s v="A"/>
    <x v="0"/>
    <x v="2"/>
    <x v="1"/>
    <x v="1"/>
    <n v="10"/>
    <n v="0"/>
    <n v="0"/>
  </r>
  <r>
    <s v="USR_02359"/>
    <s v="B"/>
    <x v="1"/>
    <x v="0"/>
    <x v="0"/>
    <x v="0"/>
    <n v="8"/>
    <n v="1"/>
    <n v="6548.25"/>
  </r>
  <r>
    <s v="USR_02360"/>
    <s v="A"/>
    <x v="0"/>
    <x v="0"/>
    <x v="0"/>
    <x v="0"/>
    <n v="5"/>
    <n v="0"/>
    <n v="0"/>
  </r>
  <r>
    <s v="USR_02361"/>
    <s v="A"/>
    <x v="0"/>
    <x v="1"/>
    <x v="1"/>
    <x v="1"/>
    <n v="8"/>
    <n v="0"/>
    <n v="0"/>
  </r>
  <r>
    <s v="USR_02362"/>
    <s v="A"/>
    <x v="0"/>
    <x v="0"/>
    <x v="0"/>
    <x v="0"/>
    <n v="7"/>
    <n v="0"/>
    <n v="0"/>
  </r>
  <r>
    <s v="USR_02363"/>
    <s v="A"/>
    <x v="0"/>
    <x v="3"/>
    <x v="1"/>
    <x v="1"/>
    <n v="9"/>
    <n v="0"/>
    <n v="0"/>
  </r>
  <r>
    <s v="USR_02364"/>
    <s v="B"/>
    <x v="1"/>
    <x v="3"/>
    <x v="0"/>
    <x v="0"/>
    <n v="4"/>
    <n v="0"/>
    <n v="0"/>
  </r>
  <r>
    <s v="USR_02365"/>
    <s v="B"/>
    <x v="1"/>
    <x v="3"/>
    <x v="0"/>
    <x v="0"/>
    <n v="6"/>
    <n v="0"/>
    <n v="0"/>
  </r>
  <r>
    <s v="USR_02366"/>
    <s v="A"/>
    <x v="0"/>
    <x v="1"/>
    <x v="0"/>
    <x v="0"/>
    <n v="8"/>
    <n v="0"/>
    <n v="0"/>
  </r>
  <r>
    <s v="USR_02367"/>
    <s v="A"/>
    <x v="0"/>
    <x v="3"/>
    <x v="0"/>
    <x v="0"/>
    <n v="10"/>
    <n v="0"/>
    <n v="0"/>
  </r>
  <r>
    <s v="USR_02368"/>
    <s v="B"/>
    <x v="1"/>
    <x v="3"/>
    <x v="1"/>
    <x v="1"/>
    <n v="7"/>
    <n v="0"/>
    <n v="0"/>
  </r>
  <r>
    <s v="USR_02369"/>
    <s v="A"/>
    <x v="0"/>
    <x v="1"/>
    <x v="0"/>
    <x v="0"/>
    <n v="5"/>
    <n v="0"/>
    <n v="0"/>
  </r>
  <r>
    <s v="USR_02370"/>
    <s v="B"/>
    <x v="1"/>
    <x v="0"/>
    <x v="1"/>
    <x v="1"/>
    <n v="5"/>
    <n v="0"/>
    <n v="0"/>
  </r>
  <r>
    <s v="USR_02371"/>
    <s v="B"/>
    <x v="1"/>
    <x v="3"/>
    <x v="1"/>
    <x v="1"/>
    <n v="4"/>
    <n v="0"/>
    <n v="0"/>
  </r>
  <r>
    <s v="USR_02372"/>
    <s v="B"/>
    <x v="1"/>
    <x v="3"/>
    <x v="1"/>
    <x v="1"/>
    <n v="4"/>
    <n v="1"/>
    <n v="1106.48"/>
  </r>
  <r>
    <s v="USR_02373"/>
    <s v="B"/>
    <x v="1"/>
    <x v="3"/>
    <x v="0"/>
    <x v="0"/>
    <n v="6"/>
    <n v="0"/>
    <n v="0"/>
  </r>
  <r>
    <s v="USR_02374"/>
    <s v="A"/>
    <x v="0"/>
    <x v="3"/>
    <x v="1"/>
    <x v="1"/>
    <n v="8"/>
    <n v="0"/>
    <n v="0"/>
  </r>
  <r>
    <s v="USR_02375"/>
    <s v="B"/>
    <x v="1"/>
    <x v="3"/>
    <x v="0"/>
    <x v="0"/>
    <n v="5"/>
    <n v="0"/>
    <n v="0"/>
  </r>
  <r>
    <s v="USR_02376"/>
    <s v="A"/>
    <x v="0"/>
    <x v="1"/>
    <x v="0"/>
    <x v="0"/>
    <n v="7"/>
    <n v="1"/>
    <n v="2149.67"/>
  </r>
  <r>
    <s v="USR_02377"/>
    <s v="A"/>
    <x v="0"/>
    <x v="1"/>
    <x v="1"/>
    <x v="1"/>
    <n v="4"/>
    <n v="1"/>
    <n v="2229.3200000000002"/>
  </r>
  <r>
    <s v="USR_02378"/>
    <s v="B"/>
    <x v="1"/>
    <x v="1"/>
    <x v="0"/>
    <x v="0"/>
    <n v="6"/>
    <n v="0"/>
    <n v="0"/>
  </r>
  <r>
    <s v="USR_02379"/>
    <s v="A"/>
    <x v="0"/>
    <x v="3"/>
    <x v="1"/>
    <x v="1"/>
    <n v="7"/>
    <n v="1"/>
    <n v="862.8"/>
  </r>
  <r>
    <s v="USR_02380"/>
    <s v="B"/>
    <x v="1"/>
    <x v="0"/>
    <x v="0"/>
    <x v="0"/>
    <n v="9"/>
    <n v="0"/>
    <n v="0"/>
  </r>
  <r>
    <s v="USR_02381"/>
    <s v="B"/>
    <x v="1"/>
    <x v="3"/>
    <x v="0"/>
    <x v="0"/>
    <n v="5"/>
    <n v="0"/>
    <n v="0"/>
  </r>
  <r>
    <s v="USR_02382"/>
    <s v="B"/>
    <x v="1"/>
    <x v="1"/>
    <x v="0"/>
    <x v="0"/>
    <n v="9"/>
    <n v="1"/>
    <n v="2262.58"/>
  </r>
  <r>
    <s v="USR_02383"/>
    <s v="B"/>
    <x v="1"/>
    <x v="0"/>
    <x v="2"/>
    <x v="2"/>
    <n v="2"/>
    <n v="1"/>
    <n v="3204.12"/>
  </r>
  <r>
    <s v="USR_02384"/>
    <s v="A"/>
    <x v="0"/>
    <x v="3"/>
    <x v="1"/>
    <x v="1"/>
    <n v="5"/>
    <n v="0"/>
    <n v="0"/>
  </r>
  <r>
    <s v="USR_02385"/>
    <s v="A"/>
    <x v="0"/>
    <x v="3"/>
    <x v="1"/>
    <x v="1"/>
    <n v="5"/>
    <n v="0"/>
    <n v="0"/>
  </r>
  <r>
    <s v="USR_02386"/>
    <s v="B"/>
    <x v="1"/>
    <x v="0"/>
    <x v="0"/>
    <x v="0"/>
    <n v="14"/>
    <n v="0"/>
    <n v="0"/>
  </r>
  <r>
    <s v="USR_02387"/>
    <s v="A"/>
    <x v="0"/>
    <x v="3"/>
    <x v="0"/>
    <x v="0"/>
    <n v="1"/>
    <n v="0"/>
    <n v="0"/>
  </r>
  <r>
    <s v="USR_02388"/>
    <s v="B"/>
    <x v="1"/>
    <x v="1"/>
    <x v="2"/>
    <x v="2"/>
    <n v="5"/>
    <n v="1"/>
    <n v="2272.64"/>
  </r>
  <r>
    <s v="USR_02389"/>
    <s v="B"/>
    <x v="1"/>
    <x v="3"/>
    <x v="0"/>
    <x v="0"/>
    <n v="11"/>
    <n v="0"/>
    <n v="0"/>
  </r>
  <r>
    <s v="USR_02390"/>
    <s v="B"/>
    <x v="1"/>
    <x v="1"/>
    <x v="0"/>
    <x v="0"/>
    <n v="11"/>
    <n v="0"/>
    <n v="0"/>
  </r>
  <r>
    <s v="USR_02391"/>
    <s v="A"/>
    <x v="0"/>
    <x v="3"/>
    <x v="1"/>
    <x v="1"/>
    <n v="6"/>
    <n v="0"/>
    <n v="0"/>
  </r>
  <r>
    <s v="USR_02392"/>
    <s v="A"/>
    <x v="0"/>
    <x v="3"/>
    <x v="0"/>
    <x v="0"/>
    <n v="5"/>
    <n v="0"/>
    <n v="0"/>
  </r>
  <r>
    <s v="USR_02393"/>
    <s v="A"/>
    <x v="0"/>
    <x v="1"/>
    <x v="1"/>
    <x v="1"/>
    <n v="3"/>
    <n v="0"/>
    <n v="0"/>
  </r>
  <r>
    <s v="USR_02394"/>
    <s v="A"/>
    <x v="0"/>
    <x v="3"/>
    <x v="1"/>
    <x v="1"/>
    <n v="4"/>
    <n v="1"/>
    <n v="1397.28"/>
  </r>
  <r>
    <s v="USR_02395"/>
    <s v="B"/>
    <x v="1"/>
    <x v="3"/>
    <x v="0"/>
    <x v="0"/>
    <n v="4"/>
    <n v="0"/>
    <n v="0"/>
  </r>
  <r>
    <s v="USR_02396"/>
    <s v="A"/>
    <x v="0"/>
    <x v="3"/>
    <x v="0"/>
    <x v="0"/>
    <n v="4"/>
    <n v="0"/>
    <n v="0"/>
  </r>
  <r>
    <s v="USR_02397"/>
    <s v="A"/>
    <x v="0"/>
    <x v="3"/>
    <x v="0"/>
    <x v="0"/>
    <n v="4"/>
    <n v="0"/>
    <n v="0"/>
  </r>
  <r>
    <s v="USR_02398"/>
    <s v="A"/>
    <x v="0"/>
    <x v="3"/>
    <x v="0"/>
    <x v="0"/>
    <n v="7"/>
    <n v="0"/>
    <n v="0"/>
  </r>
  <r>
    <s v="USR_02399"/>
    <s v="B"/>
    <x v="1"/>
    <x v="3"/>
    <x v="1"/>
    <x v="1"/>
    <n v="10"/>
    <n v="0"/>
    <n v="0"/>
  </r>
  <r>
    <s v="USR_02400"/>
    <s v="B"/>
    <x v="1"/>
    <x v="0"/>
    <x v="0"/>
    <x v="0"/>
    <n v="8"/>
    <n v="0"/>
    <n v="0"/>
  </r>
  <r>
    <s v="USR_02401"/>
    <s v="A"/>
    <x v="0"/>
    <x v="3"/>
    <x v="0"/>
    <x v="0"/>
    <n v="1"/>
    <n v="0"/>
    <n v="0"/>
  </r>
  <r>
    <s v="USR_02402"/>
    <s v="A"/>
    <x v="0"/>
    <x v="1"/>
    <x v="1"/>
    <x v="1"/>
    <n v="6"/>
    <n v="0"/>
    <n v="0"/>
  </r>
  <r>
    <s v="USR_02403"/>
    <s v="A"/>
    <x v="0"/>
    <x v="3"/>
    <x v="1"/>
    <x v="1"/>
    <n v="6"/>
    <n v="0"/>
    <n v="0"/>
  </r>
  <r>
    <s v="USR_02404"/>
    <s v="A"/>
    <x v="0"/>
    <x v="3"/>
    <x v="0"/>
    <x v="0"/>
    <n v="8"/>
    <n v="0"/>
    <n v="0"/>
  </r>
  <r>
    <s v="USR_02405"/>
    <s v="B"/>
    <x v="1"/>
    <x v="2"/>
    <x v="0"/>
    <x v="0"/>
    <n v="11"/>
    <n v="0"/>
    <n v="0"/>
  </r>
  <r>
    <s v="USR_02406"/>
    <s v="B"/>
    <x v="1"/>
    <x v="3"/>
    <x v="0"/>
    <x v="0"/>
    <n v="6"/>
    <n v="0"/>
    <n v="0"/>
  </r>
  <r>
    <s v="USR_02407"/>
    <s v="A"/>
    <x v="0"/>
    <x v="2"/>
    <x v="1"/>
    <x v="1"/>
    <n v="7"/>
    <n v="0"/>
    <n v="0"/>
  </r>
  <r>
    <s v="USR_02408"/>
    <s v="A"/>
    <x v="0"/>
    <x v="3"/>
    <x v="2"/>
    <x v="2"/>
    <n v="6"/>
    <n v="0"/>
    <n v="0"/>
  </r>
  <r>
    <s v="USR_02409"/>
    <s v="variant_b"/>
    <x v="1"/>
    <x v="1"/>
    <x v="0"/>
    <x v="0"/>
    <n v="3"/>
    <n v="0"/>
    <n v="0"/>
  </r>
  <r>
    <s v="USR_02410"/>
    <s v="A"/>
    <x v="0"/>
    <x v="1"/>
    <x v="1"/>
    <x v="1"/>
    <n v="3"/>
    <n v="0"/>
    <n v="0"/>
  </r>
  <r>
    <s v="USR_02411"/>
    <s v="B"/>
    <x v="1"/>
    <x v="0"/>
    <x v="0"/>
    <x v="0"/>
    <n v="11"/>
    <n v="0"/>
    <n v="0"/>
  </r>
  <r>
    <s v="USR_02412"/>
    <s v="A"/>
    <x v="0"/>
    <x v="1"/>
    <x v="0"/>
    <x v="0"/>
    <n v="4"/>
    <n v="0"/>
    <n v="0"/>
  </r>
  <r>
    <s v="USR_02413"/>
    <s v="B"/>
    <x v="1"/>
    <x v="1"/>
    <x v="0"/>
    <x v="0"/>
    <n v="4"/>
    <n v="0"/>
    <n v="0"/>
  </r>
  <r>
    <s v="USR_02414"/>
    <s v="A"/>
    <x v="0"/>
    <x v="3"/>
    <x v="0"/>
    <x v="0"/>
    <n v="5"/>
    <n v="0"/>
    <n v="0"/>
  </r>
  <r>
    <s v="USR_02415"/>
    <s v="B"/>
    <x v="1"/>
    <x v="3"/>
    <x v="0"/>
    <x v="0"/>
    <n v="5"/>
    <n v="0"/>
    <n v="0"/>
  </r>
  <r>
    <s v="USR_02416"/>
    <s v="variant_b"/>
    <x v="1"/>
    <x v="0"/>
    <x v="1"/>
    <x v="1"/>
    <n v="7"/>
    <n v="0"/>
    <n v="0"/>
  </r>
  <r>
    <s v="USR_02417"/>
    <s v="A"/>
    <x v="0"/>
    <x v="3"/>
    <x v="0"/>
    <x v="0"/>
    <n v="11"/>
    <n v="0"/>
    <n v="0"/>
  </r>
  <r>
    <s v="USR_02418"/>
    <s v="A"/>
    <x v="0"/>
    <x v="3"/>
    <x v="0"/>
    <x v="0"/>
    <n v="5"/>
    <n v="0"/>
    <n v="0"/>
  </r>
  <r>
    <s v="USR_02419"/>
    <s v="A"/>
    <x v="0"/>
    <x v="1"/>
    <x v="0"/>
    <x v="0"/>
    <n v="5"/>
    <n v="0"/>
    <n v="0"/>
  </r>
  <r>
    <s v="USR_02420"/>
    <s v="A"/>
    <x v="0"/>
    <x v="3"/>
    <x v="1"/>
    <x v="1"/>
    <n v="3"/>
    <n v="0"/>
    <n v="0"/>
  </r>
  <r>
    <s v="USR_02421"/>
    <s v="A"/>
    <x v="0"/>
    <x v="2"/>
    <x v="0"/>
    <x v="0"/>
    <n v="4"/>
    <n v="0"/>
    <n v="0"/>
  </r>
  <r>
    <s v="USR_02422"/>
    <s v="A"/>
    <x v="0"/>
    <x v="1"/>
    <x v="1"/>
    <x v="1"/>
    <n v="4"/>
    <n v="0"/>
    <n v="0"/>
  </r>
  <r>
    <s v="USR_02423"/>
    <s v="B"/>
    <x v="1"/>
    <x v="1"/>
    <x v="0"/>
    <x v="0"/>
    <n v="4"/>
    <n v="0"/>
    <n v="0"/>
  </r>
  <r>
    <s v="USR_02424"/>
    <s v="A"/>
    <x v="0"/>
    <x v="0"/>
    <x v="0"/>
    <x v="0"/>
    <n v="6"/>
    <n v="0"/>
    <n v="0"/>
  </r>
  <r>
    <s v="USR_02425"/>
    <s v="A"/>
    <x v="0"/>
    <x v="3"/>
    <x v="0"/>
    <x v="0"/>
    <n v="5"/>
    <n v="0"/>
    <n v="0"/>
  </r>
  <r>
    <s v="USR_02426"/>
    <s v="B"/>
    <x v="1"/>
    <x v="3"/>
    <x v="0"/>
    <x v="0"/>
    <n v="6"/>
    <n v="0"/>
    <n v="0"/>
  </r>
  <r>
    <s v="USR_02427"/>
    <s v="A"/>
    <x v="0"/>
    <x v="1"/>
    <x v="0"/>
    <x v="0"/>
    <n v="7"/>
    <n v="1"/>
    <n v="3126.65"/>
  </r>
  <r>
    <s v="USR_02428"/>
    <s v="control"/>
    <x v="0"/>
    <x v="3"/>
    <x v="0"/>
    <x v="0"/>
    <n v="9"/>
    <n v="0"/>
    <n v="0"/>
  </r>
  <r>
    <s v="USR_02429"/>
    <s v="A"/>
    <x v="0"/>
    <x v="1"/>
    <x v="1"/>
    <x v="1"/>
    <n v="9"/>
    <n v="0"/>
    <n v="0"/>
  </r>
  <r>
    <s v="USR_02430"/>
    <s v="B"/>
    <x v="1"/>
    <x v="0"/>
    <x v="1"/>
    <x v="1"/>
    <n v="4"/>
    <n v="0"/>
    <n v="0"/>
  </r>
  <r>
    <s v="USR_02431"/>
    <s v="B"/>
    <x v="1"/>
    <x v="1"/>
    <x v="0"/>
    <x v="0"/>
    <n v="12"/>
    <n v="0"/>
    <n v="0"/>
  </r>
  <r>
    <s v="USR_02432"/>
    <s v="B"/>
    <x v="1"/>
    <x v="3"/>
    <x v="0"/>
    <x v="0"/>
    <n v="5"/>
    <n v="1"/>
    <n v="1398.21"/>
  </r>
  <r>
    <s v="USR_02433"/>
    <s v="variant_b"/>
    <x v="1"/>
    <x v="2"/>
    <x v="0"/>
    <x v="0"/>
    <n v="4"/>
    <n v="0"/>
    <n v="0"/>
  </r>
  <r>
    <s v="USR_02434"/>
    <s v="A"/>
    <x v="0"/>
    <x v="1"/>
    <x v="0"/>
    <x v="0"/>
    <n v="5"/>
    <n v="0"/>
    <n v="0"/>
  </r>
  <r>
    <s v="USR_02435"/>
    <s v="variant_b"/>
    <x v="1"/>
    <x v="1"/>
    <x v="0"/>
    <x v="0"/>
    <n v="5"/>
    <n v="0"/>
    <n v="0"/>
  </r>
  <r>
    <s v="USR_02436"/>
    <s v="A"/>
    <x v="0"/>
    <x v="3"/>
    <x v="0"/>
    <x v="0"/>
    <n v="5"/>
    <n v="0"/>
    <n v="0"/>
  </r>
  <r>
    <s v="USR_02437"/>
    <s v="A"/>
    <x v="0"/>
    <x v="0"/>
    <x v="0"/>
    <x v="0"/>
    <n v="7"/>
    <n v="0"/>
    <n v="0"/>
  </r>
  <r>
    <s v="USR_02438"/>
    <s v="A"/>
    <x v="0"/>
    <x v="1"/>
    <x v="0"/>
    <x v="0"/>
    <n v="6"/>
    <n v="0"/>
    <n v="0"/>
  </r>
  <r>
    <s v="USR_02439"/>
    <s v="B"/>
    <x v="1"/>
    <x v="1"/>
    <x v="0"/>
    <x v="0"/>
    <n v="5"/>
    <n v="0"/>
    <n v="0"/>
  </r>
  <r>
    <s v="USR_02440"/>
    <s v="A"/>
    <x v="0"/>
    <x v="0"/>
    <x v="0"/>
    <x v="0"/>
    <n v="7"/>
    <n v="1"/>
    <n v="5628.93"/>
  </r>
  <r>
    <s v="USR_02441"/>
    <s v="B"/>
    <x v="1"/>
    <x v="3"/>
    <x v="1"/>
    <x v="1"/>
    <n v="4"/>
    <n v="0"/>
    <n v="0"/>
  </r>
  <r>
    <s v="USR_02442"/>
    <s v="B"/>
    <x v="1"/>
    <x v="1"/>
    <x v="0"/>
    <x v="0"/>
    <n v="3"/>
    <n v="0"/>
    <n v="0"/>
  </r>
  <r>
    <s v="USR_02443"/>
    <s v="B"/>
    <x v="1"/>
    <x v="0"/>
    <x v="0"/>
    <x v="0"/>
    <n v="8"/>
    <n v="1"/>
    <n v="6016.61"/>
  </r>
  <r>
    <s v="USR_02444"/>
    <s v="B"/>
    <x v="1"/>
    <x v="3"/>
    <x v="1"/>
    <x v="1"/>
    <n v="5"/>
    <n v="0"/>
    <n v="0"/>
  </r>
  <r>
    <s v="USR_02445"/>
    <s v="A"/>
    <x v="0"/>
    <x v="0"/>
    <x v="0"/>
    <x v="0"/>
    <n v="14"/>
    <n v="0"/>
    <n v="0"/>
  </r>
  <r>
    <s v="USR_02446"/>
    <s v="A"/>
    <x v="0"/>
    <x v="2"/>
    <x v="1"/>
    <x v="1"/>
    <n v="5"/>
    <n v="0"/>
    <n v="0"/>
  </r>
  <r>
    <s v="USR_02447"/>
    <s v="A"/>
    <x v="0"/>
    <x v="1"/>
    <x v="1"/>
    <x v="1"/>
    <n v="8"/>
    <n v="0"/>
    <n v="0"/>
  </r>
  <r>
    <s v="USR_02448"/>
    <s v="A"/>
    <x v="0"/>
    <x v="1"/>
    <x v="0"/>
    <x v="0"/>
    <n v="5"/>
    <n v="0"/>
    <n v="0"/>
  </r>
  <r>
    <s v="USR_02449"/>
    <s v="A"/>
    <x v="0"/>
    <x v="0"/>
    <x v="1"/>
    <x v="1"/>
    <n v="3"/>
    <n v="0"/>
    <n v="0"/>
  </r>
  <r>
    <s v="USR_02450"/>
    <s v="A"/>
    <x v="0"/>
    <x v="0"/>
    <x v="0"/>
    <x v="0"/>
    <n v="10"/>
    <n v="0"/>
    <n v="0"/>
  </r>
  <r>
    <s v="USR_02451"/>
    <s v="A"/>
    <x v="0"/>
    <x v="3"/>
    <x v="1"/>
    <x v="1"/>
    <n v="2"/>
    <n v="0"/>
    <n v="0"/>
  </r>
  <r>
    <s v="USR_02452"/>
    <s v="variant_b"/>
    <x v="1"/>
    <x v="3"/>
    <x v="0"/>
    <x v="0"/>
    <n v="3"/>
    <n v="0"/>
    <n v="0"/>
  </r>
  <r>
    <s v="USR_02453"/>
    <s v="B"/>
    <x v="1"/>
    <x v="3"/>
    <x v="0"/>
    <x v="0"/>
    <n v="8"/>
    <n v="0"/>
    <n v="0"/>
  </r>
  <r>
    <s v="USR_02454"/>
    <s v="A"/>
    <x v="0"/>
    <x v="1"/>
    <x v="1"/>
    <x v="1"/>
    <n v="6"/>
    <n v="0"/>
    <n v="0"/>
  </r>
  <r>
    <s v="USR_02455"/>
    <s v="B"/>
    <x v="1"/>
    <x v="1"/>
    <x v="0"/>
    <x v="0"/>
    <n v="7"/>
    <n v="0"/>
    <n v="0"/>
  </r>
  <r>
    <s v="USR_02456"/>
    <s v="A"/>
    <x v="0"/>
    <x v="1"/>
    <x v="2"/>
    <x v="2"/>
    <n v="4"/>
    <n v="0"/>
    <n v="0"/>
  </r>
  <r>
    <s v="USR_02457"/>
    <s v="A"/>
    <x v="0"/>
    <x v="3"/>
    <x v="1"/>
    <x v="1"/>
    <n v="2"/>
    <n v="0"/>
    <n v="0"/>
  </r>
  <r>
    <s v="USR_02458"/>
    <s v="B"/>
    <x v="1"/>
    <x v="1"/>
    <x v="0"/>
    <x v="0"/>
    <n v="4"/>
    <n v="0"/>
    <n v="0"/>
  </r>
  <r>
    <s v="USR_02459"/>
    <s v="B"/>
    <x v="1"/>
    <x v="3"/>
    <x v="0"/>
    <x v="0"/>
    <n v="1"/>
    <n v="0"/>
    <n v="0"/>
  </r>
  <r>
    <s v="USR_02460"/>
    <s v="A"/>
    <x v="0"/>
    <x v="1"/>
    <x v="0"/>
    <x v="0"/>
    <n v="7"/>
    <n v="0"/>
    <n v="0"/>
  </r>
  <r>
    <s v="USR_02461"/>
    <s v="variant_b"/>
    <x v="1"/>
    <x v="1"/>
    <x v="0"/>
    <x v="0"/>
    <n v="3"/>
    <n v="1"/>
    <n v="2939.59"/>
  </r>
  <r>
    <s v="USR_02462"/>
    <s v="B"/>
    <x v="1"/>
    <x v="3"/>
    <x v="0"/>
    <x v="0"/>
    <n v="7"/>
    <n v="1"/>
    <n v="1055.18"/>
  </r>
  <r>
    <s v="USR_02463"/>
    <s v="B"/>
    <x v="1"/>
    <x v="3"/>
    <x v="1"/>
    <x v="1"/>
    <n v="4"/>
    <n v="0"/>
    <n v="0"/>
  </r>
  <r>
    <s v="USR_02464"/>
    <s v="B"/>
    <x v="1"/>
    <x v="1"/>
    <x v="0"/>
    <x v="0"/>
    <n v="8"/>
    <n v="0"/>
    <n v="0"/>
  </r>
  <r>
    <s v="USR_02465"/>
    <s v="B"/>
    <x v="1"/>
    <x v="1"/>
    <x v="0"/>
    <x v="0"/>
    <n v="3"/>
    <n v="0"/>
    <n v="0"/>
  </r>
  <r>
    <s v="USR_02466"/>
    <s v="A"/>
    <x v="0"/>
    <x v="3"/>
    <x v="0"/>
    <x v="0"/>
    <n v="6"/>
    <n v="1"/>
    <n v="1739.73"/>
  </r>
  <r>
    <s v="USR_02467"/>
    <s v="A"/>
    <x v="0"/>
    <x v="2"/>
    <x v="0"/>
    <x v="0"/>
    <n v="6"/>
    <n v="0"/>
    <n v="0"/>
  </r>
  <r>
    <s v="USR_02468"/>
    <s v="A"/>
    <x v="0"/>
    <x v="1"/>
    <x v="1"/>
    <x v="1"/>
    <n v="6"/>
    <n v="0"/>
    <n v="0"/>
  </r>
  <r>
    <s v="USR_02469"/>
    <s v="B"/>
    <x v="1"/>
    <x v="2"/>
    <x v="1"/>
    <x v="1"/>
    <n v="5"/>
    <n v="0"/>
    <n v="0"/>
  </r>
  <r>
    <s v="USR_02470"/>
    <s v="B"/>
    <x v="1"/>
    <x v="1"/>
    <x v="0"/>
    <x v="0"/>
    <n v="7"/>
    <n v="0"/>
    <n v="0"/>
  </r>
  <r>
    <s v="USR_02471"/>
    <s v="A"/>
    <x v="0"/>
    <x v="1"/>
    <x v="1"/>
    <x v="1"/>
    <n v="7"/>
    <n v="0"/>
    <n v="0"/>
  </r>
  <r>
    <s v="USR_02472"/>
    <s v="variant_b"/>
    <x v="1"/>
    <x v="0"/>
    <x v="0"/>
    <x v="0"/>
    <n v="4"/>
    <n v="0"/>
    <n v="0"/>
  </r>
  <r>
    <s v="USR_02473"/>
    <s v="B"/>
    <x v="1"/>
    <x v="1"/>
    <x v="0"/>
    <x v="0"/>
    <n v="4"/>
    <n v="0"/>
    <n v="0"/>
  </r>
  <r>
    <s v="USR_02474"/>
    <s v="B"/>
    <x v="1"/>
    <x v="1"/>
    <x v="0"/>
    <x v="0"/>
    <n v="8"/>
    <n v="0"/>
    <n v="0"/>
  </r>
  <r>
    <s v="USR_02475"/>
    <s v="B"/>
    <x v="1"/>
    <x v="3"/>
    <x v="0"/>
    <x v="0"/>
    <n v="6"/>
    <n v="0"/>
    <n v="0"/>
  </r>
  <r>
    <s v="USR_02476"/>
    <s v="B"/>
    <x v="1"/>
    <x v="1"/>
    <x v="0"/>
    <x v="0"/>
    <n v="6"/>
    <n v="0"/>
    <n v="0"/>
  </r>
  <r>
    <s v="USR_02477"/>
    <s v="A"/>
    <x v="0"/>
    <x v="3"/>
    <x v="1"/>
    <x v="1"/>
    <n v="5"/>
    <n v="0"/>
    <n v="0"/>
  </r>
  <r>
    <s v="USR_02478"/>
    <s v="B"/>
    <x v="1"/>
    <x v="3"/>
    <x v="0"/>
    <x v="0"/>
    <n v="5"/>
    <n v="0"/>
    <n v="0"/>
  </r>
  <r>
    <s v="USR_02479"/>
    <s v="A"/>
    <x v="0"/>
    <x v="3"/>
    <x v="0"/>
    <x v="0"/>
    <n v="6"/>
    <n v="0"/>
    <n v="0"/>
  </r>
  <r>
    <s v="USR_02480"/>
    <s v="B"/>
    <x v="1"/>
    <x v="3"/>
    <x v="0"/>
    <x v="0"/>
    <n v="7"/>
    <n v="1"/>
    <n v="1774.25"/>
  </r>
  <r>
    <s v="USR_02481"/>
    <s v="A"/>
    <x v="0"/>
    <x v="2"/>
    <x v="0"/>
    <x v="0"/>
    <n v="9"/>
    <n v="0"/>
    <n v="0"/>
  </r>
  <r>
    <s v="USR_02482"/>
    <s v="B"/>
    <x v="1"/>
    <x v="3"/>
    <x v="0"/>
    <x v="0"/>
    <n v="5"/>
    <n v="0"/>
    <n v="0"/>
  </r>
  <r>
    <s v="USR_02483"/>
    <s v="control"/>
    <x v="0"/>
    <x v="1"/>
    <x v="0"/>
    <x v="0"/>
    <n v="3"/>
    <n v="0"/>
    <n v="0"/>
  </r>
  <r>
    <s v="USR_02484"/>
    <s v="A"/>
    <x v="0"/>
    <x v="0"/>
    <x v="0"/>
    <x v="0"/>
    <n v="6"/>
    <n v="0"/>
    <n v="0"/>
  </r>
  <r>
    <s v="USR_02485"/>
    <s v="B"/>
    <x v="1"/>
    <x v="1"/>
    <x v="0"/>
    <x v="0"/>
    <n v="4"/>
    <n v="0"/>
    <n v="0"/>
  </r>
  <r>
    <s v="USR_02486"/>
    <s v="variant_b"/>
    <x v="1"/>
    <x v="3"/>
    <x v="1"/>
    <x v="1"/>
    <n v="8"/>
    <n v="0"/>
    <n v="0"/>
  </r>
  <r>
    <s v="USR_02487"/>
    <s v="B"/>
    <x v="1"/>
    <x v="1"/>
    <x v="0"/>
    <x v="0"/>
    <n v="7"/>
    <n v="0"/>
    <n v="0"/>
  </r>
  <r>
    <s v="USR_02488"/>
    <s v="B"/>
    <x v="1"/>
    <x v="1"/>
    <x v="1"/>
    <x v="1"/>
    <n v="14"/>
    <n v="0"/>
    <n v="0"/>
  </r>
  <r>
    <s v="USR_02489"/>
    <s v="B"/>
    <x v="1"/>
    <x v="1"/>
    <x v="1"/>
    <x v="1"/>
    <n v="7"/>
    <n v="0"/>
    <n v="0"/>
  </r>
  <r>
    <s v="USR_02490"/>
    <s v="A"/>
    <x v="0"/>
    <x v="1"/>
    <x v="1"/>
    <x v="1"/>
    <n v="5"/>
    <n v="0"/>
    <n v="0"/>
  </r>
  <r>
    <s v="USR_02491"/>
    <s v="A"/>
    <x v="0"/>
    <x v="2"/>
    <x v="0"/>
    <x v="0"/>
    <n v="4"/>
    <n v="0"/>
    <n v="0"/>
  </r>
  <r>
    <s v="USR_02492"/>
    <s v="A"/>
    <x v="0"/>
    <x v="1"/>
    <x v="0"/>
    <x v="0"/>
    <n v="4"/>
    <n v="0"/>
    <n v="0"/>
  </r>
  <r>
    <s v="USR_02493"/>
    <s v="B"/>
    <x v="1"/>
    <x v="3"/>
    <x v="0"/>
    <x v="0"/>
    <n v="10"/>
    <n v="1"/>
    <n v="1282.1300000000001"/>
  </r>
  <r>
    <s v="USR_02494"/>
    <s v="A"/>
    <x v="0"/>
    <x v="1"/>
    <x v="1"/>
    <x v="1"/>
    <n v="6"/>
    <n v="1"/>
    <n v="2432.7800000000002"/>
  </r>
  <r>
    <s v="USR_02495"/>
    <s v="B"/>
    <x v="1"/>
    <x v="3"/>
    <x v="0"/>
    <x v="0"/>
    <n v="5"/>
    <n v="0"/>
    <n v="0"/>
  </r>
  <r>
    <s v="USR_02496"/>
    <s v="B"/>
    <x v="1"/>
    <x v="0"/>
    <x v="0"/>
    <x v="0"/>
    <n v="3"/>
    <n v="0"/>
    <n v="0"/>
  </r>
  <r>
    <s v="USR_02497"/>
    <s v="B"/>
    <x v="1"/>
    <x v="3"/>
    <x v="0"/>
    <x v="0"/>
    <n v="4"/>
    <n v="0"/>
    <n v="0"/>
  </r>
  <r>
    <s v="USR_02498"/>
    <s v="B"/>
    <x v="1"/>
    <x v="3"/>
    <x v="0"/>
    <x v="0"/>
    <n v="12"/>
    <n v="0"/>
    <n v="0"/>
  </r>
  <r>
    <s v="USR_02499"/>
    <s v="variant_b"/>
    <x v="1"/>
    <x v="0"/>
    <x v="0"/>
    <x v="0"/>
    <n v="6"/>
    <n v="0"/>
    <n v="0"/>
  </r>
  <r>
    <s v="USR_02500"/>
    <s v="A"/>
    <x v="0"/>
    <x v="1"/>
    <x v="1"/>
    <x v="1"/>
    <n v="3"/>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D9B5EA-CEAD-45D2-AD43-BA5686945EA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0:D16" firstHeaderRow="1" firstDataRow="2" firstDataCol="1"/>
  <pivotFields count="10">
    <pivotField showAll="0"/>
    <pivotField showAll="0"/>
    <pivotField axis="axisCol" showAll="0">
      <items count="3">
        <item x="0"/>
        <item x="1"/>
        <item t="default"/>
      </items>
    </pivotField>
    <pivotField axis="axisRow" showAll="0">
      <items count="5">
        <item x="3"/>
        <item x="1"/>
        <item x="2"/>
        <item x="0"/>
        <item t="default"/>
      </items>
    </pivotField>
    <pivotField showAll="0">
      <items count="4">
        <item x="1"/>
        <item x="0"/>
        <item x="2"/>
        <item t="default"/>
      </items>
    </pivotField>
    <pivotField showAll="0">
      <items count="4">
        <item x="1"/>
        <item x="0"/>
        <item x="2"/>
        <item t="default"/>
      </items>
    </pivotField>
    <pivotField showAll="0"/>
    <pivotField dataField="1" showAll="0"/>
    <pivotField showAll="0"/>
    <pivotField dragToRow="0" dragToCol="0" dragToPage="0" showAll="0" defaultSubtotal="0"/>
  </pivotFields>
  <rowFields count="1">
    <field x="3"/>
  </rowFields>
  <rowItems count="5">
    <i>
      <x/>
    </i>
    <i>
      <x v="1"/>
    </i>
    <i>
      <x v="2"/>
    </i>
    <i>
      <x v="3"/>
    </i>
    <i t="grand">
      <x/>
    </i>
  </rowItems>
  <colFields count="1">
    <field x="2"/>
  </colFields>
  <colItems count="3">
    <i>
      <x/>
    </i>
    <i>
      <x v="1"/>
    </i>
    <i t="grand">
      <x/>
    </i>
  </colItems>
  <dataFields count="1">
    <dataField name="Average of converted" fld="7" subtotal="average" baseField="0" baseItem="0" numFmtId="10"/>
  </dataFields>
  <chartFormats count="4">
    <chartFormat chart="9" format="4" series="1">
      <pivotArea type="data" outline="0" fieldPosition="0">
        <references count="2">
          <reference field="4294967294" count="1" selected="0">
            <x v="0"/>
          </reference>
          <reference field="2" count="1" selected="0">
            <x v="0"/>
          </reference>
        </references>
      </pivotArea>
    </chartFormat>
    <chartFormat chart="9" format="5" series="1">
      <pivotArea type="data" outline="0" fieldPosition="0">
        <references count="2">
          <reference field="4294967294" count="1" selected="0">
            <x v="0"/>
          </reference>
          <reference field="2" count="1" selected="0">
            <x v="1"/>
          </reference>
        </references>
      </pivotArea>
    </chartFormat>
    <chartFormat chart="9" format="6">
      <pivotArea type="data" outline="0" fieldPosition="0">
        <references count="3">
          <reference field="4294967294" count="1" selected="0">
            <x v="0"/>
          </reference>
          <reference field="2" count="1" selected="0">
            <x v="0"/>
          </reference>
          <reference field="3" count="1" selected="0">
            <x v="2"/>
          </reference>
        </references>
      </pivotArea>
    </chartFormat>
    <chartFormat chart="9" format="7">
      <pivotArea type="data" outline="0" fieldPosition="0">
        <references count="3">
          <reference field="4294967294" count="1" selected="0">
            <x v="0"/>
          </reference>
          <reference field="2"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BB7204-9C92-4B34-B867-77C7604F221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6" firstHeaderRow="0" firstDataRow="1" firstDataCol="1"/>
  <pivotFields count="10">
    <pivotField dataField="1" showAll="0"/>
    <pivotField showAll="0"/>
    <pivotField axis="axisRow" showAll="0">
      <items count="3">
        <item x="0"/>
        <item x="1"/>
        <item t="default"/>
      </items>
    </pivotField>
    <pivotField showAll="0"/>
    <pivotField showAll="0"/>
    <pivotField showAll="0"/>
    <pivotField showAll="0"/>
    <pivotField dataField="1" showAll="0"/>
    <pivotField dataField="1" showAll="0"/>
    <pivotField dataField="1" dragToRow="0" dragToCol="0" dragToPage="0" showAll="0" defaultSubtotal="0"/>
  </pivotFields>
  <rowFields count="1">
    <field x="2"/>
  </rowFields>
  <rowItems count="3">
    <i>
      <x/>
    </i>
    <i>
      <x v="1"/>
    </i>
    <i t="grand">
      <x/>
    </i>
  </rowItems>
  <colFields count="1">
    <field x="-2"/>
  </colFields>
  <colItems count="5">
    <i>
      <x/>
    </i>
    <i i="1">
      <x v="1"/>
    </i>
    <i i="2">
      <x v="2"/>
    </i>
    <i i="3">
      <x v="3"/>
    </i>
    <i i="4">
      <x v="4"/>
    </i>
  </colItems>
  <dataFields count="5">
    <dataField name="Count of user_id" fld="0" subtotal="count" baseField="0" baseItem="0"/>
    <dataField name="Sum of converted" fld="7" baseField="0" baseItem="0"/>
    <dataField name="Average of converted2" fld="7" subtotal="average" baseField="0" baseItem="0"/>
    <dataField name="Sum of order_value_inr" fld="8" baseField="0" baseItem="0"/>
    <dataField name="Sum of AOV_Calculated" fld="9" baseField="0" baseItem="0"/>
  </dataFields>
  <formats count="8">
    <format dxfId="7">
      <pivotArea dataOnly="0" labelOnly="1" outline="0" fieldPosition="0">
        <references count="1">
          <reference field="4294967294" count="1">
            <x v="2"/>
          </reference>
        </references>
      </pivotArea>
    </format>
    <format dxfId="6">
      <pivotArea field="2" grandRow="1" outline="0" collapsedLevelsAreSubtotals="1" axis="axisRow" fieldPosition="0">
        <references count="1">
          <reference field="4294967294" count="1" selected="0">
            <x v="2"/>
          </reference>
        </references>
      </pivotArea>
    </format>
    <format dxfId="5">
      <pivotArea collapsedLevelsAreSubtotals="1" fieldPosition="0">
        <references count="2">
          <reference field="4294967294" count="1" selected="0">
            <x v="2"/>
          </reference>
          <reference field="2" count="1">
            <x v="0"/>
          </reference>
        </references>
      </pivotArea>
    </format>
    <format dxfId="4">
      <pivotArea collapsedLevelsAreSubtotals="1" fieldPosition="0">
        <references count="2">
          <reference field="4294967294" count="1" selected="0">
            <x v="2"/>
          </reference>
          <reference field="2" count="1">
            <x v="1"/>
          </reference>
        </references>
      </pivotArea>
    </format>
    <format dxfId="3">
      <pivotArea dataOnly="0" labelOnly="1" outline="0" fieldPosition="0">
        <references count="1">
          <reference field="4294967294" count="1">
            <x v="4"/>
          </reference>
        </references>
      </pivotArea>
    </format>
    <format dxfId="2">
      <pivotArea collapsedLevelsAreSubtotals="1" fieldPosition="0">
        <references count="2">
          <reference field="4294967294" count="1" selected="0">
            <x v="4"/>
          </reference>
          <reference field="2" count="1">
            <x v="0"/>
          </reference>
        </references>
      </pivotArea>
    </format>
    <format dxfId="1">
      <pivotArea collapsedLevelsAreSubtotals="1" fieldPosition="0">
        <references count="2">
          <reference field="4294967294" count="1" selected="0">
            <x v="4"/>
          </reference>
          <reference field="2" count="1">
            <x v="1"/>
          </reference>
        </references>
      </pivotArea>
    </format>
    <format dxfId="0">
      <pivotArea field="2" grandRow="1" outline="0" collapsedLevelsAreSubtotals="1" axis="axisRow"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device" xr10:uid="{ACA758B0-1DA4-40DD-93CF-87DC7690062A}" sourceName="clean_device">
  <pivotTables>
    <pivotTable tabId="2" name="PivotTable3"/>
  </pivotTables>
  <data>
    <tabular pivotCacheId="208707063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ean_device" xr10:uid="{A1C4571D-C65A-42DE-A6F9-A3DBABBD9702}" cache="Slicer_clean_device" caption="clean_devic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E5BCEE-D04B-4023-9D4F-76617728BC8E}" name="Table2" displayName="Table2" ref="H3:I7" totalsRowShown="0">
  <autoFilter ref="H3:I7" xr:uid="{F5E5BCEE-D04B-4023-9D4F-76617728BC8E}"/>
  <tableColumns count="2">
    <tableColumn id="1" xr3:uid="{68D41851-5FA3-4009-8A3B-458E4F4F3DD4}" name="Metric"/>
    <tableColumn id="2" xr3:uid="{EC537360-F4CD-4691-8574-CA208FD0F1D6}" name="Value"/>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F7201-B5D7-4668-A1B4-23F35D7D6502}">
  <dimension ref="A3:N19"/>
  <sheetViews>
    <sheetView workbookViewId="0">
      <selection activeCell="F23" sqref="F23"/>
    </sheetView>
  </sheetViews>
  <sheetFormatPr defaultRowHeight="14.4"/>
  <cols>
    <col min="1" max="1" width="19.33203125" bestFit="1" customWidth="1"/>
    <col min="2" max="2" width="15.5546875" bestFit="1" customWidth="1"/>
    <col min="3" max="3" width="7" bestFit="1" customWidth="1"/>
    <col min="4" max="4" width="10.77734375" bestFit="1" customWidth="1"/>
    <col min="5" max="5" width="21" bestFit="1" customWidth="1"/>
    <col min="6" max="6" width="21.33203125" bestFit="1" customWidth="1"/>
    <col min="8" max="8" width="18.5546875" bestFit="1" customWidth="1"/>
    <col min="11" max="11" width="19.5546875" bestFit="1" customWidth="1"/>
    <col min="12" max="12" width="38.88671875" bestFit="1" customWidth="1"/>
  </cols>
  <sheetData>
    <row r="3" spans="1:14">
      <c r="A3" s="1" t="s">
        <v>2511</v>
      </c>
      <c r="B3" t="s">
        <v>2513</v>
      </c>
      <c r="C3" t="s">
        <v>2514</v>
      </c>
      <c r="D3" s="3" t="s">
        <v>2515</v>
      </c>
      <c r="E3" t="s">
        <v>2516</v>
      </c>
      <c r="F3" s="9" t="s">
        <v>2538</v>
      </c>
      <c r="H3" t="s">
        <v>2519</v>
      </c>
      <c r="I3" s="4" t="s">
        <v>2520</v>
      </c>
      <c r="K3" s="38" t="s">
        <v>2525</v>
      </c>
      <c r="L3" s="39"/>
      <c r="M3" s="39"/>
      <c r="N3" s="39"/>
    </row>
    <row r="4" spans="1:14">
      <c r="A4" s="2" t="s">
        <v>8</v>
      </c>
      <c r="B4">
        <v>1227</v>
      </c>
      <c r="C4">
        <v>159</v>
      </c>
      <c r="D4" s="3">
        <v>0.1295843520782396</v>
      </c>
      <c r="E4">
        <v>421061.08000000007</v>
      </c>
      <c r="F4" s="9">
        <v>2648.1828930817614</v>
      </c>
      <c r="H4" t="s">
        <v>2521</v>
      </c>
      <c r="I4">
        <f>(C4+C5)/(B4+B5)</f>
        <v>0.14785054238650061</v>
      </c>
      <c r="K4" s="8" t="s">
        <v>2526</v>
      </c>
      <c r="L4" s="8" t="s">
        <v>2527</v>
      </c>
      <c r="M4" s="6"/>
      <c r="N4" s="6"/>
    </row>
    <row r="5" spans="1:14">
      <c r="A5" s="2" t="s">
        <v>15</v>
      </c>
      <c r="B5">
        <v>1262</v>
      </c>
      <c r="C5">
        <v>209</v>
      </c>
      <c r="D5" s="3">
        <v>0.16561014263074486</v>
      </c>
      <c r="E5">
        <v>565482.60999999987</v>
      </c>
      <c r="F5" s="9">
        <v>2705.6584210526307</v>
      </c>
      <c r="H5" t="s">
        <v>2522</v>
      </c>
      <c r="I5">
        <f>SQRT(I4*(1-I4)*(1/B4 + 1/B5))</f>
        <v>1.4230817083836616E-2</v>
      </c>
      <c r="K5" s="6" t="s">
        <v>2528</v>
      </c>
      <c r="L5" s="6">
        <f>B6</f>
        <v>2489</v>
      </c>
      <c r="M5" s="6"/>
      <c r="N5" s="6"/>
    </row>
    <row r="6" spans="1:14">
      <c r="A6" s="2" t="s">
        <v>2512</v>
      </c>
      <c r="B6">
        <v>2489</v>
      </c>
      <c r="C6">
        <v>368</v>
      </c>
      <c r="D6" s="3">
        <v>0.14785054238650061</v>
      </c>
      <c r="E6">
        <v>986543.69</v>
      </c>
      <c r="F6" s="9">
        <v>2680.8252445652174</v>
      </c>
      <c r="H6" t="s">
        <v>2523</v>
      </c>
      <c r="I6">
        <f>(D5-D4)/I5</f>
        <v>2.5315335261686003</v>
      </c>
      <c r="K6" s="6" t="s">
        <v>2529</v>
      </c>
      <c r="L6" s="7">
        <f>D4</f>
        <v>0.1295843520782396</v>
      </c>
      <c r="M6" s="6"/>
      <c r="N6" s="6"/>
    </row>
    <row r="7" spans="1:14">
      <c r="H7" t="s">
        <v>2524</v>
      </c>
      <c r="I7">
        <f>2*(1-_xlfn.NORM.S.DIST(ABS(I6), TRUE))</f>
        <v>1.1356496021005968E-2</v>
      </c>
      <c r="K7" s="6" t="s">
        <v>2530</v>
      </c>
      <c r="L7" s="7">
        <f>D5</f>
        <v>0.16561014263074486</v>
      </c>
      <c r="M7" s="6"/>
      <c r="N7" s="6"/>
    </row>
    <row r="8" spans="1:14">
      <c r="K8" s="6" t="s">
        <v>2531</v>
      </c>
      <c r="L8" s="7">
        <f>D5-D4</f>
        <v>3.6025790552505266E-2</v>
      </c>
      <c r="M8" s="6"/>
      <c r="N8" s="6"/>
    </row>
    <row r="9" spans="1:14">
      <c r="K9" s="6" t="s">
        <v>2532</v>
      </c>
      <c r="L9" s="7">
        <f>(D5-D4)/D4</f>
        <v>0.27801034596178592</v>
      </c>
      <c r="M9" s="6"/>
      <c r="N9" s="6"/>
    </row>
    <row r="10" spans="1:14">
      <c r="A10" s="1" t="s">
        <v>2518</v>
      </c>
      <c r="B10" s="1" t="s">
        <v>2517</v>
      </c>
      <c r="K10" s="6" t="s">
        <v>2533</v>
      </c>
      <c r="L10" s="6" t="s">
        <v>2534</v>
      </c>
      <c r="M10" s="6"/>
      <c r="N10" s="6"/>
    </row>
    <row r="11" spans="1:14">
      <c r="A11" s="1" t="s">
        <v>2511</v>
      </c>
      <c r="B11" t="s">
        <v>8</v>
      </c>
      <c r="C11" t="s">
        <v>15</v>
      </c>
      <c r="D11" t="s">
        <v>2512</v>
      </c>
      <c r="K11" s="6" t="s">
        <v>2535</v>
      </c>
      <c r="L11" s="6" t="s">
        <v>2536</v>
      </c>
      <c r="M11" s="6"/>
      <c r="N11" s="6"/>
    </row>
    <row r="12" spans="1:14">
      <c r="A12" s="2" t="s">
        <v>20</v>
      </c>
      <c r="B12" s="3">
        <v>0.10564663023679417</v>
      </c>
      <c r="C12" s="3">
        <v>0.13533834586466165</v>
      </c>
      <c r="D12" s="3">
        <v>0.12025901942645699</v>
      </c>
    </row>
    <row r="13" spans="1:14">
      <c r="A13" s="2" t="s">
        <v>13</v>
      </c>
      <c r="B13" s="3">
        <v>0.12039312039312039</v>
      </c>
      <c r="C13" s="3">
        <v>0.16166281755196305</v>
      </c>
      <c r="D13" s="3">
        <v>0.14166666666666666</v>
      </c>
      <c r="K13" s="36" t="s">
        <v>2537</v>
      </c>
      <c r="L13" s="37"/>
      <c r="M13" s="5"/>
      <c r="N13" s="5"/>
    </row>
    <row r="14" spans="1:14">
      <c r="A14" s="2" t="s">
        <v>18</v>
      </c>
      <c r="B14" s="3">
        <v>0.11881188118811881</v>
      </c>
      <c r="C14" s="3">
        <v>0.11320754716981132</v>
      </c>
      <c r="D14" s="3">
        <v>0.11594202898550725</v>
      </c>
      <c r="K14" s="37"/>
      <c r="L14" s="37"/>
      <c r="M14" s="5"/>
      <c r="N14" s="5"/>
    </row>
    <row r="15" spans="1:14" ht="14.4" customHeight="1">
      <c r="A15" s="2" t="s">
        <v>9</v>
      </c>
      <c r="B15" s="3">
        <v>0.23529411764705882</v>
      </c>
      <c r="C15" s="3">
        <v>0.2879581151832461</v>
      </c>
      <c r="D15" s="3">
        <v>0.26315789473684209</v>
      </c>
      <c r="K15" s="37"/>
      <c r="L15" s="37"/>
      <c r="M15" s="5"/>
      <c r="N15" s="5"/>
    </row>
    <row r="16" spans="1:14">
      <c r="A16" s="2" t="s">
        <v>2512</v>
      </c>
      <c r="B16" s="3">
        <v>0.1295843520782396</v>
      </c>
      <c r="C16" s="3">
        <v>0.16561014263074486</v>
      </c>
      <c r="D16" s="3">
        <v>0.14785054238650061</v>
      </c>
      <c r="K16" s="37"/>
      <c r="L16" s="37"/>
      <c r="M16" s="5"/>
      <c r="N16" s="5"/>
    </row>
    <row r="17" spans="11:14">
      <c r="K17" s="37"/>
      <c r="L17" s="37"/>
      <c r="M17" s="5"/>
      <c r="N17" s="5"/>
    </row>
    <row r="18" spans="11:14">
      <c r="K18" s="37"/>
      <c r="L18" s="37"/>
      <c r="M18" s="5"/>
      <c r="N18" s="5"/>
    </row>
    <row r="19" spans="11:14">
      <c r="K19" s="35"/>
      <c r="L19" s="35"/>
    </row>
  </sheetData>
  <mergeCells count="3">
    <mergeCell ref="K19:L19"/>
    <mergeCell ref="K13:L18"/>
    <mergeCell ref="K3:N3"/>
  </mergeCells>
  <pageMargins left="0.7" right="0.7" top="0.75" bottom="0.75" header="0.3" footer="0.3"/>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54956-A403-469F-B626-B589B9E66B1F}">
  <dimension ref="A2:M26"/>
  <sheetViews>
    <sheetView showGridLines="0" tabSelected="1" workbookViewId="0">
      <selection activeCell="O17" sqref="O17"/>
    </sheetView>
  </sheetViews>
  <sheetFormatPr defaultRowHeight="14.4"/>
  <cols>
    <col min="1" max="1" width="6.77734375" customWidth="1"/>
    <col min="3" max="3" width="13.21875" customWidth="1"/>
    <col min="4" max="4" width="6.88671875" customWidth="1"/>
    <col min="6" max="6" width="14.44140625" customWidth="1"/>
    <col min="7" max="7" width="6.21875" customWidth="1"/>
    <col min="9" max="9" width="14.77734375" customWidth="1"/>
    <col min="10" max="10" width="5.33203125" customWidth="1"/>
    <col min="12" max="12" width="17.5546875" customWidth="1"/>
  </cols>
  <sheetData>
    <row r="2" spans="1:13" ht="21" customHeight="1">
      <c r="A2" s="10"/>
      <c r="B2" s="18" t="s">
        <v>2548</v>
      </c>
      <c r="C2" s="18"/>
      <c r="D2" s="18"/>
      <c r="E2" s="18"/>
      <c r="F2" s="18"/>
      <c r="G2" s="18"/>
      <c r="H2" s="18"/>
      <c r="I2" s="18"/>
      <c r="J2" s="18"/>
      <c r="K2" s="18"/>
      <c r="L2" s="18"/>
      <c r="M2" s="18"/>
    </row>
    <row r="3" spans="1:13">
      <c r="B3" s="18"/>
      <c r="C3" s="18"/>
      <c r="D3" s="18"/>
      <c r="E3" s="18"/>
      <c r="F3" s="18"/>
      <c r="G3" s="18"/>
      <c r="H3" s="18"/>
      <c r="I3" s="18"/>
      <c r="J3" s="18"/>
      <c r="K3" s="18"/>
      <c r="L3" s="18"/>
      <c r="M3" s="18"/>
    </row>
    <row r="5" spans="1:13">
      <c r="B5" s="19" t="s">
        <v>2539</v>
      </c>
      <c r="C5" s="20"/>
      <c r="E5" s="19" t="s">
        <v>2541</v>
      </c>
      <c r="F5" s="25"/>
      <c r="H5" s="19" t="s">
        <v>2543</v>
      </c>
      <c r="I5" s="25"/>
      <c r="K5" s="29" t="s">
        <v>2545</v>
      </c>
      <c r="L5" s="30"/>
    </row>
    <row r="6" spans="1:13" ht="23.4">
      <c r="B6" s="21">
        <f>AB_Summary!B6</f>
        <v>2489</v>
      </c>
      <c r="C6" s="22"/>
      <c r="E6" s="26">
        <f>AB_Summary!D4</f>
        <v>0.1295843520782396</v>
      </c>
      <c r="F6" s="22"/>
      <c r="H6" s="26">
        <f>AB_Summary!D5</f>
        <v>0.16561014263074486</v>
      </c>
      <c r="I6" s="28"/>
      <c r="K6" s="31">
        <f>AB_Summary!D5-AB_Summary!D4</f>
        <v>3.6025790552505266E-2</v>
      </c>
      <c r="L6" s="32"/>
    </row>
    <row r="7" spans="1:13">
      <c r="B7" s="23" t="s">
        <v>2540</v>
      </c>
      <c r="C7" s="24"/>
      <c r="E7" s="23" t="s">
        <v>2542</v>
      </c>
      <c r="F7" s="27"/>
      <c r="H7" s="23" t="s">
        <v>2544</v>
      </c>
      <c r="I7" s="27"/>
      <c r="K7" s="33" t="s">
        <v>2546</v>
      </c>
      <c r="L7" s="34"/>
    </row>
    <row r="16" spans="1:13" ht="14.4" customHeight="1">
      <c r="K16" s="12" t="s">
        <v>2547</v>
      </c>
      <c r="L16" s="13"/>
    </row>
    <row r="17" spans="11:12">
      <c r="K17" s="14"/>
      <c r="L17" s="15"/>
    </row>
    <row r="18" spans="11:12">
      <c r="K18" s="14"/>
      <c r="L18" s="15"/>
    </row>
    <row r="19" spans="11:12">
      <c r="K19" s="14"/>
      <c r="L19" s="15"/>
    </row>
    <row r="20" spans="11:12">
      <c r="K20" s="14"/>
      <c r="L20" s="15"/>
    </row>
    <row r="21" spans="11:12">
      <c r="K21" s="14"/>
      <c r="L21" s="15"/>
    </row>
    <row r="22" spans="11:12">
      <c r="K22" s="14"/>
      <c r="L22" s="15"/>
    </row>
    <row r="23" spans="11:12">
      <c r="K23" s="16"/>
      <c r="L23" s="17"/>
    </row>
    <row r="26" spans="11:12">
      <c r="K26" s="11"/>
      <c r="L26" s="5"/>
    </row>
  </sheetData>
  <mergeCells count="14">
    <mergeCell ref="K16:L23"/>
    <mergeCell ref="B2:M3"/>
    <mergeCell ref="B5:C5"/>
    <mergeCell ref="B6:C6"/>
    <mergeCell ref="B7:C7"/>
    <mergeCell ref="E5:F5"/>
    <mergeCell ref="E6:F6"/>
    <mergeCell ref="E7:F7"/>
    <mergeCell ref="H5:I5"/>
    <mergeCell ref="H6:I6"/>
    <mergeCell ref="H7:I7"/>
    <mergeCell ref="K5:L5"/>
    <mergeCell ref="K6:L6"/>
    <mergeCell ref="K7:L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353BB-7370-4579-A077-431AC53662BB}">
  <dimension ref="A1:I2490"/>
  <sheetViews>
    <sheetView workbookViewId="0">
      <selection activeCell="F10" sqref="F10"/>
    </sheetView>
  </sheetViews>
  <sheetFormatPr defaultRowHeight="14.4"/>
  <cols>
    <col min="1" max="1" width="10.33203125" bestFit="1" customWidth="1"/>
    <col min="2" max="2" width="9.77734375" bestFit="1" customWidth="1"/>
    <col min="3" max="3" width="15.21875" bestFit="1" customWidth="1"/>
    <col min="4" max="4" width="16.6640625" bestFit="1" customWidth="1"/>
    <col min="5" max="5" width="8.44140625" bestFit="1" customWidth="1"/>
    <col min="6" max="6" width="11.5546875" bestFit="1" customWidth="1"/>
    <col min="7" max="7" width="12.44140625" bestFit="1" customWidth="1"/>
    <col min="8" max="8" width="11.44140625" bestFit="1" customWidth="1"/>
    <col min="9" max="9" width="16.21875" bestFit="1" customWidth="1"/>
  </cols>
  <sheetData>
    <row r="1" spans="1:9">
      <c r="A1" t="s">
        <v>0</v>
      </c>
      <c r="B1" t="s">
        <v>1</v>
      </c>
      <c r="C1" t="s">
        <v>2509</v>
      </c>
      <c r="D1" t="s">
        <v>2</v>
      </c>
      <c r="E1" t="s">
        <v>3</v>
      </c>
      <c r="F1" t="s">
        <v>2510</v>
      </c>
      <c r="G1" t="s">
        <v>4</v>
      </c>
      <c r="H1" t="s">
        <v>5</v>
      </c>
      <c r="I1" t="s">
        <v>6</v>
      </c>
    </row>
    <row r="2" spans="1:9">
      <c r="A2" t="s">
        <v>7</v>
      </c>
      <c r="B2" t="s">
        <v>8</v>
      </c>
      <c r="C2" t="str">
        <f t="shared" ref="C2:C65" si="0">IF(OR(B2="control", B2="A"), "A", "B")</f>
        <v>A</v>
      </c>
      <c r="D2" t="s">
        <v>9</v>
      </c>
      <c r="E2" t="s">
        <v>10</v>
      </c>
      <c r="F2" t="str">
        <f t="shared" ref="F2:F65" si="1">PROPER(E2)</f>
        <v>Mobile</v>
      </c>
      <c r="G2">
        <v>6</v>
      </c>
      <c r="H2">
        <v>0</v>
      </c>
      <c r="I2">
        <v>0</v>
      </c>
    </row>
    <row r="3" spans="1:9">
      <c r="A3" t="s">
        <v>11</v>
      </c>
      <c r="B3" t="s">
        <v>12</v>
      </c>
      <c r="C3" t="str">
        <f t="shared" si="0"/>
        <v>A</v>
      </c>
      <c r="D3" t="s">
        <v>13</v>
      </c>
      <c r="E3" t="s">
        <v>10</v>
      </c>
      <c r="F3" t="str">
        <f t="shared" si="1"/>
        <v>Mobile</v>
      </c>
      <c r="G3">
        <v>6</v>
      </c>
      <c r="H3">
        <v>1</v>
      </c>
      <c r="I3">
        <v>3194.5</v>
      </c>
    </row>
    <row r="4" spans="1:9">
      <c r="A4" t="s">
        <v>14</v>
      </c>
      <c r="B4" t="s">
        <v>15</v>
      </c>
      <c r="C4" t="str">
        <f t="shared" si="0"/>
        <v>B</v>
      </c>
      <c r="D4" t="s">
        <v>13</v>
      </c>
      <c r="E4" t="s">
        <v>16</v>
      </c>
      <c r="F4" t="str">
        <f t="shared" si="1"/>
        <v>Mobile</v>
      </c>
      <c r="G4">
        <v>5</v>
      </c>
      <c r="H4">
        <v>1</v>
      </c>
      <c r="I4">
        <v>2288.77</v>
      </c>
    </row>
    <row r="5" spans="1:9">
      <c r="A5" t="s">
        <v>17</v>
      </c>
      <c r="B5" t="s">
        <v>15</v>
      </c>
      <c r="C5" t="str">
        <f t="shared" si="0"/>
        <v>B</v>
      </c>
      <c r="D5" t="s">
        <v>18</v>
      </c>
      <c r="E5" t="s">
        <v>10</v>
      </c>
      <c r="F5" t="str">
        <f t="shared" si="1"/>
        <v>Mobile</v>
      </c>
      <c r="G5">
        <v>9</v>
      </c>
      <c r="H5">
        <v>0</v>
      </c>
      <c r="I5">
        <v>0</v>
      </c>
    </row>
    <row r="6" spans="1:9">
      <c r="A6" t="s">
        <v>19</v>
      </c>
      <c r="B6" t="s">
        <v>8</v>
      </c>
      <c r="C6" t="str">
        <f t="shared" si="0"/>
        <v>A</v>
      </c>
      <c r="D6" t="s">
        <v>20</v>
      </c>
      <c r="E6" t="s">
        <v>16</v>
      </c>
      <c r="F6" t="str">
        <f t="shared" si="1"/>
        <v>Mobile</v>
      </c>
      <c r="G6">
        <v>2</v>
      </c>
      <c r="H6">
        <v>0</v>
      </c>
      <c r="I6">
        <v>0</v>
      </c>
    </row>
    <row r="7" spans="1:9">
      <c r="A7" t="s">
        <v>21</v>
      </c>
      <c r="B7" t="s">
        <v>8</v>
      </c>
      <c r="C7" t="str">
        <f t="shared" si="0"/>
        <v>A</v>
      </c>
      <c r="D7" t="s">
        <v>20</v>
      </c>
      <c r="E7" t="s">
        <v>10</v>
      </c>
      <c r="F7" t="str">
        <f t="shared" si="1"/>
        <v>Mobile</v>
      </c>
      <c r="G7">
        <v>8</v>
      </c>
      <c r="H7">
        <v>0</v>
      </c>
      <c r="I7">
        <v>0</v>
      </c>
    </row>
    <row r="8" spans="1:9">
      <c r="A8" t="s">
        <v>22</v>
      </c>
      <c r="B8" t="s">
        <v>8</v>
      </c>
      <c r="C8" t="str">
        <f t="shared" si="0"/>
        <v>A</v>
      </c>
      <c r="D8" t="s">
        <v>9</v>
      </c>
      <c r="E8" t="s">
        <v>23</v>
      </c>
      <c r="F8" t="str">
        <f t="shared" si="1"/>
        <v>Desktop</v>
      </c>
      <c r="G8">
        <v>5</v>
      </c>
      <c r="H8">
        <v>0</v>
      </c>
      <c r="I8">
        <v>0</v>
      </c>
    </row>
    <row r="9" spans="1:9">
      <c r="A9" t="s">
        <v>24</v>
      </c>
      <c r="B9" t="s">
        <v>15</v>
      </c>
      <c r="C9" t="str">
        <f t="shared" si="0"/>
        <v>B</v>
      </c>
      <c r="D9" t="s">
        <v>13</v>
      </c>
      <c r="E9" t="s">
        <v>16</v>
      </c>
      <c r="F9" t="str">
        <f t="shared" si="1"/>
        <v>Mobile</v>
      </c>
      <c r="G9">
        <v>9</v>
      </c>
      <c r="H9">
        <v>0</v>
      </c>
      <c r="I9">
        <v>0</v>
      </c>
    </row>
    <row r="10" spans="1:9">
      <c r="A10" t="s">
        <v>25</v>
      </c>
      <c r="B10" t="s">
        <v>15</v>
      </c>
      <c r="C10" t="str">
        <f t="shared" si="0"/>
        <v>B</v>
      </c>
      <c r="D10" t="s">
        <v>9</v>
      </c>
      <c r="E10" t="s">
        <v>10</v>
      </c>
      <c r="F10" t="str">
        <f t="shared" si="1"/>
        <v>Mobile</v>
      </c>
      <c r="G10">
        <v>9</v>
      </c>
      <c r="H10">
        <v>0</v>
      </c>
      <c r="I10">
        <v>0</v>
      </c>
    </row>
    <row r="11" spans="1:9">
      <c r="A11" t="s">
        <v>26</v>
      </c>
      <c r="B11" t="s">
        <v>15</v>
      </c>
      <c r="C11" t="str">
        <f t="shared" si="0"/>
        <v>B</v>
      </c>
      <c r="D11" t="s">
        <v>9</v>
      </c>
      <c r="E11" t="s">
        <v>10</v>
      </c>
      <c r="F11" t="str">
        <f t="shared" si="1"/>
        <v>Mobile</v>
      </c>
      <c r="G11">
        <v>4</v>
      </c>
      <c r="H11">
        <v>1</v>
      </c>
      <c r="I11">
        <v>6056.2</v>
      </c>
    </row>
    <row r="12" spans="1:9">
      <c r="A12" t="s">
        <v>27</v>
      </c>
      <c r="B12" t="s">
        <v>8</v>
      </c>
      <c r="C12" t="str">
        <f t="shared" si="0"/>
        <v>A</v>
      </c>
      <c r="D12" t="s">
        <v>20</v>
      </c>
      <c r="E12" t="s">
        <v>10</v>
      </c>
      <c r="F12" t="str">
        <f t="shared" si="1"/>
        <v>Mobile</v>
      </c>
      <c r="G12">
        <v>2</v>
      </c>
      <c r="H12">
        <v>1</v>
      </c>
      <c r="I12">
        <v>826.71</v>
      </c>
    </row>
    <row r="13" spans="1:9">
      <c r="A13" t="s">
        <v>28</v>
      </c>
      <c r="B13" t="s">
        <v>29</v>
      </c>
      <c r="C13" t="str">
        <f t="shared" si="0"/>
        <v>B</v>
      </c>
      <c r="D13" t="s">
        <v>9</v>
      </c>
      <c r="E13" t="s">
        <v>23</v>
      </c>
      <c r="F13" t="str">
        <f t="shared" si="1"/>
        <v>Desktop</v>
      </c>
      <c r="G13">
        <v>6</v>
      </c>
      <c r="H13">
        <v>1</v>
      </c>
      <c r="I13">
        <v>4603.3100000000004</v>
      </c>
    </row>
    <row r="14" spans="1:9">
      <c r="A14" t="s">
        <v>30</v>
      </c>
      <c r="B14" t="s">
        <v>15</v>
      </c>
      <c r="C14" t="str">
        <f t="shared" si="0"/>
        <v>B</v>
      </c>
      <c r="D14" t="s">
        <v>13</v>
      </c>
      <c r="E14" t="s">
        <v>23</v>
      </c>
      <c r="F14" t="str">
        <f t="shared" si="1"/>
        <v>Desktop</v>
      </c>
      <c r="G14">
        <v>6</v>
      </c>
      <c r="H14">
        <v>0</v>
      </c>
      <c r="I14">
        <v>0</v>
      </c>
    </row>
    <row r="15" spans="1:9">
      <c r="A15" t="s">
        <v>31</v>
      </c>
      <c r="B15" t="s">
        <v>8</v>
      </c>
      <c r="C15" t="str">
        <f t="shared" si="0"/>
        <v>A</v>
      </c>
      <c r="D15" t="s">
        <v>13</v>
      </c>
      <c r="E15" t="s">
        <v>23</v>
      </c>
      <c r="F15" t="str">
        <f t="shared" si="1"/>
        <v>Desktop</v>
      </c>
      <c r="G15">
        <v>7</v>
      </c>
      <c r="H15">
        <v>0</v>
      </c>
      <c r="I15">
        <v>0</v>
      </c>
    </row>
    <row r="16" spans="1:9">
      <c r="A16" t="s">
        <v>32</v>
      </c>
      <c r="B16" t="s">
        <v>8</v>
      </c>
      <c r="C16" t="str">
        <f t="shared" si="0"/>
        <v>A</v>
      </c>
      <c r="D16" t="s">
        <v>13</v>
      </c>
      <c r="E16" t="s">
        <v>10</v>
      </c>
      <c r="F16" t="str">
        <f t="shared" si="1"/>
        <v>Mobile</v>
      </c>
      <c r="G16">
        <v>8</v>
      </c>
      <c r="H16">
        <v>0</v>
      </c>
      <c r="I16">
        <v>0</v>
      </c>
    </row>
    <row r="17" spans="1:9">
      <c r="A17" t="s">
        <v>34</v>
      </c>
      <c r="B17" t="s">
        <v>8</v>
      </c>
      <c r="C17" t="str">
        <f t="shared" si="0"/>
        <v>A</v>
      </c>
      <c r="D17" t="s">
        <v>20</v>
      </c>
      <c r="E17" t="s">
        <v>10</v>
      </c>
      <c r="F17" t="str">
        <f t="shared" si="1"/>
        <v>Mobile</v>
      </c>
      <c r="G17">
        <v>6</v>
      </c>
      <c r="H17">
        <v>0</v>
      </c>
      <c r="I17">
        <v>0</v>
      </c>
    </row>
    <row r="18" spans="1:9">
      <c r="A18" t="s">
        <v>35</v>
      </c>
      <c r="B18" t="s">
        <v>15</v>
      </c>
      <c r="C18" t="str">
        <f t="shared" si="0"/>
        <v>B</v>
      </c>
      <c r="D18" t="s">
        <v>18</v>
      </c>
      <c r="E18" t="s">
        <v>10</v>
      </c>
      <c r="F18" t="str">
        <f t="shared" si="1"/>
        <v>Mobile</v>
      </c>
      <c r="G18">
        <v>9</v>
      </c>
      <c r="H18">
        <v>0</v>
      </c>
      <c r="I18">
        <v>0</v>
      </c>
    </row>
    <row r="19" spans="1:9">
      <c r="A19" t="s">
        <v>36</v>
      </c>
      <c r="B19" t="s">
        <v>15</v>
      </c>
      <c r="C19" t="str">
        <f t="shared" si="0"/>
        <v>B</v>
      </c>
      <c r="D19" t="s">
        <v>20</v>
      </c>
      <c r="E19" t="s">
        <v>23</v>
      </c>
      <c r="F19" t="str">
        <f t="shared" si="1"/>
        <v>Desktop</v>
      </c>
      <c r="G19">
        <v>5</v>
      </c>
      <c r="H19">
        <v>0</v>
      </c>
      <c r="I19">
        <v>0</v>
      </c>
    </row>
    <row r="20" spans="1:9">
      <c r="A20" t="s">
        <v>37</v>
      </c>
      <c r="B20" t="s">
        <v>8</v>
      </c>
      <c r="C20" t="str">
        <f t="shared" si="0"/>
        <v>A</v>
      </c>
      <c r="D20" t="s">
        <v>18</v>
      </c>
      <c r="E20" t="s">
        <v>10</v>
      </c>
      <c r="F20" t="str">
        <f t="shared" si="1"/>
        <v>Mobile</v>
      </c>
      <c r="G20">
        <v>5</v>
      </c>
      <c r="H20">
        <v>0</v>
      </c>
      <c r="I20">
        <v>0</v>
      </c>
    </row>
    <row r="21" spans="1:9">
      <c r="A21" t="s">
        <v>38</v>
      </c>
      <c r="B21" t="s">
        <v>15</v>
      </c>
      <c r="C21" t="str">
        <f t="shared" si="0"/>
        <v>B</v>
      </c>
      <c r="D21" t="s">
        <v>13</v>
      </c>
      <c r="E21" t="s">
        <v>10</v>
      </c>
      <c r="F21" t="str">
        <f t="shared" si="1"/>
        <v>Mobile</v>
      </c>
      <c r="G21">
        <v>5</v>
      </c>
      <c r="H21">
        <v>0</v>
      </c>
      <c r="I21">
        <v>0</v>
      </c>
    </row>
    <row r="22" spans="1:9">
      <c r="A22" t="s">
        <v>39</v>
      </c>
      <c r="B22" t="s">
        <v>8</v>
      </c>
      <c r="C22" t="str">
        <f t="shared" si="0"/>
        <v>A</v>
      </c>
      <c r="D22" t="s">
        <v>9</v>
      </c>
      <c r="E22" t="s">
        <v>23</v>
      </c>
      <c r="F22" t="str">
        <f t="shared" si="1"/>
        <v>Desktop</v>
      </c>
      <c r="G22">
        <v>6</v>
      </c>
      <c r="H22">
        <v>0</v>
      </c>
      <c r="I22">
        <v>0</v>
      </c>
    </row>
    <row r="23" spans="1:9">
      <c r="A23" t="s">
        <v>40</v>
      </c>
      <c r="B23" t="s">
        <v>8</v>
      </c>
      <c r="C23" t="str">
        <f t="shared" si="0"/>
        <v>A</v>
      </c>
      <c r="D23" t="s">
        <v>20</v>
      </c>
      <c r="E23" t="s">
        <v>23</v>
      </c>
      <c r="F23" t="str">
        <f t="shared" si="1"/>
        <v>Desktop</v>
      </c>
      <c r="G23">
        <v>2</v>
      </c>
      <c r="H23">
        <v>0</v>
      </c>
      <c r="I23">
        <v>0</v>
      </c>
    </row>
    <row r="24" spans="1:9">
      <c r="A24" t="s">
        <v>41</v>
      </c>
      <c r="B24" t="s">
        <v>12</v>
      </c>
      <c r="C24" t="str">
        <f t="shared" si="0"/>
        <v>A</v>
      </c>
      <c r="D24" t="s">
        <v>20</v>
      </c>
      <c r="E24" t="s">
        <v>23</v>
      </c>
      <c r="F24" t="str">
        <f t="shared" si="1"/>
        <v>Desktop</v>
      </c>
      <c r="G24">
        <v>6</v>
      </c>
      <c r="H24">
        <v>0</v>
      </c>
      <c r="I24">
        <v>0</v>
      </c>
    </row>
    <row r="25" spans="1:9">
      <c r="A25" t="s">
        <v>42</v>
      </c>
      <c r="B25" t="s">
        <v>29</v>
      </c>
      <c r="C25" t="str">
        <f t="shared" si="0"/>
        <v>B</v>
      </c>
      <c r="D25" t="s">
        <v>13</v>
      </c>
      <c r="E25" t="s">
        <v>10</v>
      </c>
      <c r="F25" t="str">
        <f t="shared" si="1"/>
        <v>Mobile</v>
      </c>
      <c r="G25">
        <v>6</v>
      </c>
      <c r="H25">
        <v>0</v>
      </c>
      <c r="I25">
        <v>0</v>
      </c>
    </row>
    <row r="26" spans="1:9">
      <c r="A26" t="s">
        <v>43</v>
      </c>
      <c r="B26" t="s">
        <v>15</v>
      </c>
      <c r="C26" t="str">
        <f t="shared" si="0"/>
        <v>B</v>
      </c>
      <c r="D26" t="s">
        <v>9</v>
      </c>
      <c r="E26" t="s">
        <v>10</v>
      </c>
      <c r="F26" t="str">
        <f t="shared" si="1"/>
        <v>Mobile</v>
      </c>
      <c r="G26">
        <v>5</v>
      </c>
      <c r="H26">
        <v>1</v>
      </c>
      <c r="I26">
        <v>4670.17</v>
      </c>
    </row>
    <row r="27" spans="1:9">
      <c r="A27" t="s">
        <v>44</v>
      </c>
      <c r="B27" t="s">
        <v>8</v>
      </c>
      <c r="C27" t="str">
        <f t="shared" si="0"/>
        <v>A</v>
      </c>
      <c r="D27" t="s">
        <v>13</v>
      </c>
      <c r="E27" t="s">
        <v>23</v>
      </c>
      <c r="F27" t="str">
        <f t="shared" si="1"/>
        <v>Desktop</v>
      </c>
      <c r="G27">
        <v>7</v>
      </c>
      <c r="H27">
        <v>0</v>
      </c>
      <c r="I27">
        <v>0</v>
      </c>
    </row>
    <row r="28" spans="1:9">
      <c r="A28" t="s">
        <v>45</v>
      </c>
      <c r="B28" t="s">
        <v>8</v>
      </c>
      <c r="C28" t="str">
        <f t="shared" si="0"/>
        <v>A</v>
      </c>
      <c r="D28" t="s">
        <v>20</v>
      </c>
      <c r="E28" t="s">
        <v>33</v>
      </c>
      <c r="F28" t="str">
        <f t="shared" si="1"/>
        <v>Desktop</v>
      </c>
      <c r="G28">
        <v>6</v>
      </c>
      <c r="H28">
        <v>0</v>
      </c>
      <c r="I28">
        <v>0</v>
      </c>
    </row>
    <row r="29" spans="1:9">
      <c r="A29" t="s">
        <v>46</v>
      </c>
      <c r="B29" t="s">
        <v>15</v>
      </c>
      <c r="C29" t="str">
        <f t="shared" si="0"/>
        <v>B</v>
      </c>
      <c r="D29" t="s">
        <v>13</v>
      </c>
      <c r="E29" t="s">
        <v>23</v>
      </c>
      <c r="F29" t="str">
        <f t="shared" si="1"/>
        <v>Desktop</v>
      </c>
      <c r="G29">
        <v>5</v>
      </c>
      <c r="H29">
        <v>1</v>
      </c>
      <c r="I29">
        <v>2338.44</v>
      </c>
    </row>
    <row r="30" spans="1:9">
      <c r="A30" t="s">
        <v>47</v>
      </c>
      <c r="B30" t="s">
        <v>8</v>
      </c>
      <c r="C30" t="str">
        <f t="shared" si="0"/>
        <v>A</v>
      </c>
      <c r="D30" t="s">
        <v>13</v>
      </c>
      <c r="E30" t="s">
        <v>33</v>
      </c>
      <c r="F30" t="str">
        <f t="shared" si="1"/>
        <v>Desktop</v>
      </c>
      <c r="G30">
        <v>3</v>
      </c>
      <c r="H30">
        <v>0</v>
      </c>
      <c r="I30">
        <v>0</v>
      </c>
    </row>
    <row r="31" spans="1:9">
      <c r="A31" t="s">
        <v>48</v>
      </c>
      <c r="B31" t="s">
        <v>8</v>
      </c>
      <c r="C31" t="str">
        <f t="shared" si="0"/>
        <v>A</v>
      </c>
      <c r="D31" t="s">
        <v>13</v>
      </c>
      <c r="E31" t="s">
        <v>23</v>
      </c>
      <c r="F31" t="str">
        <f t="shared" si="1"/>
        <v>Desktop</v>
      </c>
      <c r="G31">
        <v>5</v>
      </c>
      <c r="H31">
        <v>0</v>
      </c>
      <c r="I31">
        <v>0</v>
      </c>
    </row>
    <row r="32" spans="1:9">
      <c r="A32" t="s">
        <v>49</v>
      </c>
      <c r="B32" t="s">
        <v>15</v>
      </c>
      <c r="C32" t="str">
        <f t="shared" si="0"/>
        <v>B</v>
      </c>
      <c r="D32" t="s">
        <v>13</v>
      </c>
      <c r="E32" t="s">
        <v>23</v>
      </c>
      <c r="F32" t="str">
        <f t="shared" si="1"/>
        <v>Desktop</v>
      </c>
      <c r="G32">
        <v>5</v>
      </c>
      <c r="H32">
        <v>1</v>
      </c>
      <c r="I32">
        <v>2542.4699999999998</v>
      </c>
    </row>
    <row r="33" spans="1:9">
      <c r="A33" t="s">
        <v>50</v>
      </c>
      <c r="B33" t="s">
        <v>8</v>
      </c>
      <c r="C33" t="str">
        <f t="shared" si="0"/>
        <v>A</v>
      </c>
      <c r="D33" t="s">
        <v>9</v>
      </c>
      <c r="E33" t="s">
        <v>10</v>
      </c>
      <c r="F33" t="str">
        <f t="shared" si="1"/>
        <v>Mobile</v>
      </c>
      <c r="G33">
        <v>5</v>
      </c>
      <c r="H33">
        <v>0</v>
      </c>
      <c r="I33">
        <v>0</v>
      </c>
    </row>
    <row r="34" spans="1:9">
      <c r="A34" t="s">
        <v>51</v>
      </c>
      <c r="B34" t="s">
        <v>15</v>
      </c>
      <c r="C34" t="str">
        <f t="shared" si="0"/>
        <v>B</v>
      </c>
      <c r="D34" t="s">
        <v>13</v>
      </c>
      <c r="E34" t="s">
        <v>23</v>
      </c>
      <c r="F34" t="str">
        <f t="shared" si="1"/>
        <v>Desktop</v>
      </c>
      <c r="G34">
        <v>4</v>
      </c>
      <c r="H34">
        <v>0</v>
      </c>
      <c r="I34">
        <v>0</v>
      </c>
    </row>
    <row r="35" spans="1:9">
      <c r="A35" t="s">
        <v>52</v>
      </c>
      <c r="B35" t="s">
        <v>8</v>
      </c>
      <c r="C35" t="str">
        <f t="shared" si="0"/>
        <v>A</v>
      </c>
      <c r="D35" t="s">
        <v>20</v>
      </c>
      <c r="E35" t="s">
        <v>23</v>
      </c>
      <c r="F35" t="str">
        <f t="shared" si="1"/>
        <v>Desktop</v>
      </c>
      <c r="G35">
        <v>4</v>
      </c>
      <c r="H35">
        <v>0</v>
      </c>
      <c r="I35">
        <v>0</v>
      </c>
    </row>
    <row r="36" spans="1:9">
      <c r="A36" t="s">
        <v>53</v>
      </c>
      <c r="B36" t="s">
        <v>15</v>
      </c>
      <c r="C36" t="str">
        <f t="shared" si="0"/>
        <v>B</v>
      </c>
      <c r="D36" t="s">
        <v>13</v>
      </c>
      <c r="E36" t="s">
        <v>23</v>
      </c>
      <c r="F36" t="str">
        <f t="shared" si="1"/>
        <v>Desktop</v>
      </c>
      <c r="G36">
        <v>4</v>
      </c>
      <c r="H36">
        <v>0</v>
      </c>
      <c r="I36">
        <v>0</v>
      </c>
    </row>
    <row r="37" spans="1:9">
      <c r="A37" t="s">
        <v>54</v>
      </c>
      <c r="B37" t="s">
        <v>8</v>
      </c>
      <c r="C37" t="str">
        <f t="shared" si="0"/>
        <v>A</v>
      </c>
      <c r="D37" t="s">
        <v>20</v>
      </c>
      <c r="E37" t="s">
        <v>10</v>
      </c>
      <c r="F37" t="str">
        <f t="shared" si="1"/>
        <v>Mobile</v>
      </c>
      <c r="G37">
        <v>3</v>
      </c>
      <c r="H37">
        <v>0</v>
      </c>
      <c r="I37">
        <v>0</v>
      </c>
    </row>
    <row r="38" spans="1:9">
      <c r="A38" t="s">
        <v>55</v>
      </c>
      <c r="B38" t="s">
        <v>15</v>
      </c>
      <c r="C38" t="str">
        <f t="shared" si="0"/>
        <v>B</v>
      </c>
      <c r="D38" t="s">
        <v>20</v>
      </c>
      <c r="E38" t="s">
        <v>23</v>
      </c>
      <c r="F38" t="str">
        <f t="shared" si="1"/>
        <v>Desktop</v>
      </c>
      <c r="G38">
        <v>9</v>
      </c>
      <c r="H38">
        <v>0</v>
      </c>
      <c r="I38">
        <v>0</v>
      </c>
    </row>
    <row r="39" spans="1:9">
      <c r="A39" t="s">
        <v>56</v>
      </c>
      <c r="B39" t="s">
        <v>15</v>
      </c>
      <c r="C39" t="str">
        <f t="shared" si="0"/>
        <v>B</v>
      </c>
      <c r="D39" t="s">
        <v>20</v>
      </c>
      <c r="E39" t="s">
        <v>10</v>
      </c>
      <c r="F39" t="str">
        <f t="shared" si="1"/>
        <v>Mobile</v>
      </c>
      <c r="G39">
        <v>6</v>
      </c>
      <c r="H39">
        <v>0</v>
      </c>
      <c r="I39">
        <v>0</v>
      </c>
    </row>
    <row r="40" spans="1:9">
      <c r="A40" t="s">
        <v>57</v>
      </c>
      <c r="B40" t="s">
        <v>8</v>
      </c>
      <c r="C40" t="str">
        <f t="shared" si="0"/>
        <v>A</v>
      </c>
      <c r="D40" t="s">
        <v>20</v>
      </c>
      <c r="E40" t="s">
        <v>10</v>
      </c>
      <c r="F40" t="str">
        <f t="shared" si="1"/>
        <v>Mobile</v>
      </c>
      <c r="G40">
        <v>6</v>
      </c>
      <c r="H40">
        <v>0</v>
      </c>
      <c r="I40">
        <v>0</v>
      </c>
    </row>
    <row r="41" spans="1:9">
      <c r="A41" t="s">
        <v>58</v>
      </c>
      <c r="B41" t="s">
        <v>29</v>
      </c>
      <c r="C41" t="str">
        <f t="shared" si="0"/>
        <v>B</v>
      </c>
      <c r="D41" t="s">
        <v>20</v>
      </c>
      <c r="E41" t="s">
        <v>10</v>
      </c>
      <c r="F41" t="str">
        <f t="shared" si="1"/>
        <v>Mobile</v>
      </c>
      <c r="G41">
        <v>8</v>
      </c>
      <c r="H41">
        <v>1</v>
      </c>
      <c r="I41">
        <v>2086.04</v>
      </c>
    </row>
    <row r="42" spans="1:9">
      <c r="A42" t="s">
        <v>59</v>
      </c>
      <c r="B42" t="s">
        <v>15</v>
      </c>
      <c r="C42" t="str">
        <f t="shared" si="0"/>
        <v>B</v>
      </c>
      <c r="D42" t="s">
        <v>20</v>
      </c>
      <c r="E42" t="s">
        <v>23</v>
      </c>
      <c r="F42" t="str">
        <f t="shared" si="1"/>
        <v>Desktop</v>
      </c>
      <c r="G42">
        <v>1</v>
      </c>
      <c r="H42">
        <v>0</v>
      </c>
      <c r="I42">
        <v>0</v>
      </c>
    </row>
    <row r="43" spans="1:9">
      <c r="A43" t="s">
        <v>60</v>
      </c>
      <c r="B43" t="s">
        <v>12</v>
      </c>
      <c r="C43" t="str">
        <f t="shared" si="0"/>
        <v>A</v>
      </c>
      <c r="D43" t="s">
        <v>9</v>
      </c>
      <c r="E43" t="s">
        <v>10</v>
      </c>
      <c r="F43" t="str">
        <f t="shared" si="1"/>
        <v>Mobile</v>
      </c>
      <c r="G43">
        <v>7</v>
      </c>
      <c r="H43">
        <v>0</v>
      </c>
      <c r="I43">
        <v>0</v>
      </c>
    </row>
    <row r="44" spans="1:9">
      <c r="A44" t="s">
        <v>61</v>
      </c>
      <c r="B44" t="s">
        <v>15</v>
      </c>
      <c r="C44" t="str">
        <f t="shared" si="0"/>
        <v>B</v>
      </c>
      <c r="D44" t="s">
        <v>18</v>
      </c>
      <c r="E44" t="s">
        <v>10</v>
      </c>
      <c r="F44" t="str">
        <f t="shared" si="1"/>
        <v>Mobile</v>
      </c>
      <c r="G44">
        <v>2</v>
      </c>
      <c r="H44">
        <v>0</v>
      </c>
      <c r="I44">
        <v>0</v>
      </c>
    </row>
    <row r="45" spans="1:9">
      <c r="A45" t="s">
        <v>62</v>
      </c>
      <c r="B45" t="s">
        <v>15</v>
      </c>
      <c r="C45" t="str">
        <f t="shared" si="0"/>
        <v>B</v>
      </c>
      <c r="D45" t="s">
        <v>20</v>
      </c>
      <c r="E45" t="s">
        <v>10</v>
      </c>
      <c r="F45" t="str">
        <f t="shared" si="1"/>
        <v>Mobile</v>
      </c>
      <c r="G45">
        <v>1</v>
      </c>
      <c r="H45">
        <v>0</v>
      </c>
      <c r="I45">
        <v>0</v>
      </c>
    </row>
    <row r="46" spans="1:9">
      <c r="A46" t="s">
        <v>63</v>
      </c>
      <c r="B46" t="s">
        <v>12</v>
      </c>
      <c r="C46" t="str">
        <f t="shared" si="0"/>
        <v>A</v>
      </c>
      <c r="D46" t="s">
        <v>18</v>
      </c>
      <c r="E46" t="s">
        <v>23</v>
      </c>
      <c r="F46" t="str">
        <f t="shared" si="1"/>
        <v>Desktop</v>
      </c>
      <c r="G46">
        <v>6</v>
      </c>
      <c r="H46">
        <v>1</v>
      </c>
      <c r="I46">
        <v>1403.78</v>
      </c>
    </row>
    <row r="47" spans="1:9">
      <c r="A47" t="s">
        <v>64</v>
      </c>
      <c r="B47" t="s">
        <v>8</v>
      </c>
      <c r="C47" t="str">
        <f t="shared" si="0"/>
        <v>A</v>
      </c>
      <c r="D47" t="s">
        <v>13</v>
      </c>
      <c r="E47" t="s">
        <v>10</v>
      </c>
      <c r="F47" t="str">
        <f t="shared" si="1"/>
        <v>Mobile</v>
      </c>
      <c r="G47">
        <v>7</v>
      </c>
      <c r="H47">
        <v>0</v>
      </c>
      <c r="I47">
        <v>0</v>
      </c>
    </row>
    <row r="48" spans="1:9">
      <c r="A48" t="s">
        <v>65</v>
      </c>
      <c r="B48" t="s">
        <v>8</v>
      </c>
      <c r="C48" t="str">
        <f t="shared" si="0"/>
        <v>A</v>
      </c>
      <c r="D48" t="s">
        <v>20</v>
      </c>
      <c r="E48" t="s">
        <v>10</v>
      </c>
      <c r="F48" t="str">
        <f t="shared" si="1"/>
        <v>Mobile</v>
      </c>
      <c r="G48">
        <v>2</v>
      </c>
      <c r="H48">
        <v>0</v>
      </c>
      <c r="I48">
        <v>0</v>
      </c>
    </row>
    <row r="49" spans="1:9">
      <c r="A49" t="s">
        <v>66</v>
      </c>
      <c r="B49" t="s">
        <v>8</v>
      </c>
      <c r="C49" t="str">
        <f t="shared" si="0"/>
        <v>A</v>
      </c>
      <c r="D49" t="s">
        <v>20</v>
      </c>
      <c r="E49" t="s">
        <v>23</v>
      </c>
      <c r="F49" t="str">
        <f t="shared" si="1"/>
        <v>Desktop</v>
      </c>
      <c r="G49">
        <v>6</v>
      </c>
      <c r="H49">
        <v>0</v>
      </c>
      <c r="I49">
        <v>0</v>
      </c>
    </row>
    <row r="50" spans="1:9">
      <c r="A50" t="s">
        <v>67</v>
      </c>
      <c r="B50" t="s">
        <v>8</v>
      </c>
      <c r="C50" t="str">
        <f t="shared" si="0"/>
        <v>A</v>
      </c>
      <c r="D50" t="s">
        <v>13</v>
      </c>
      <c r="E50" t="s">
        <v>10</v>
      </c>
      <c r="F50" t="str">
        <f t="shared" si="1"/>
        <v>Mobile</v>
      </c>
      <c r="G50">
        <v>6</v>
      </c>
      <c r="H50">
        <v>0</v>
      </c>
      <c r="I50">
        <v>0</v>
      </c>
    </row>
    <row r="51" spans="1:9">
      <c r="A51" t="s">
        <v>68</v>
      </c>
      <c r="B51" t="s">
        <v>8</v>
      </c>
      <c r="C51" t="str">
        <f t="shared" si="0"/>
        <v>A</v>
      </c>
      <c r="D51" t="s">
        <v>9</v>
      </c>
      <c r="E51" t="s">
        <v>33</v>
      </c>
      <c r="F51" t="str">
        <f t="shared" si="1"/>
        <v>Desktop</v>
      </c>
      <c r="G51">
        <v>7</v>
      </c>
      <c r="H51">
        <v>0</v>
      </c>
      <c r="I51">
        <v>0</v>
      </c>
    </row>
    <row r="52" spans="1:9">
      <c r="A52" t="s">
        <v>69</v>
      </c>
      <c r="B52" t="s">
        <v>8</v>
      </c>
      <c r="C52" t="str">
        <f t="shared" si="0"/>
        <v>A</v>
      </c>
      <c r="D52" t="s">
        <v>13</v>
      </c>
      <c r="E52" t="s">
        <v>33</v>
      </c>
      <c r="F52" t="str">
        <f t="shared" si="1"/>
        <v>Desktop</v>
      </c>
      <c r="G52">
        <v>5</v>
      </c>
      <c r="H52">
        <v>0</v>
      </c>
      <c r="I52">
        <v>0</v>
      </c>
    </row>
    <row r="53" spans="1:9">
      <c r="A53" t="s">
        <v>70</v>
      </c>
      <c r="B53" t="s">
        <v>15</v>
      </c>
      <c r="C53" t="str">
        <f t="shared" si="0"/>
        <v>B</v>
      </c>
      <c r="D53" t="s">
        <v>20</v>
      </c>
      <c r="E53" t="s">
        <v>10</v>
      </c>
      <c r="F53" t="str">
        <f t="shared" si="1"/>
        <v>Mobile</v>
      </c>
      <c r="G53">
        <v>5</v>
      </c>
      <c r="H53">
        <v>0</v>
      </c>
      <c r="I53">
        <v>0</v>
      </c>
    </row>
    <row r="54" spans="1:9">
      <c r="A54" t="s">
        <v>71</v>
      </c>
      <c r="B54" t="s">
        <v>8</v>
      </c>
      <c r="C54" t="str">
        <f t="shared" si="0"/>
        <v>A</v>
      </c>
      <c r="D54" t="s">
        <v>20</v>
      </c>
      <c r="E54" t="s">
        <v>10</v>
      </c>
      <c r="F54" t="str">
        <f t="shared" si="1"/>
        <v>Mobile</v>
      </c>
      <c r="G54">
        <v>3</v>
      </c>
      <c r="H54">
        <v>0</v>
      </c>
      <c r="I54">
        <v>0</v>
      </c>
    </row>
    <row r="55" spans="1:9">
      <c r="A55" t="s">
        <v>72</v>
      </c>
      <c r="B55" t="s">
        <v>8</v>
      </c>
      <c r="C55" t="str">
        <f t="shared" si="0"/>
        <v>A</v>
      </c>
      <c r="D55" t="s">
        <v>20</v>
      </c>
      <c r="E55" t="s">
        <v>23</v>
      </c>
      <c r="F55" t="str">
        <f t="shared" si="1"/>
        <v>Desktop</v>
      </c>
      <c r="G55">
        <v>6</v>
      </c>
      <c r="H55">
        <v>0</v>
      </c>
      <c r="I55">
        <v>0</v>
      </c>
    </row>
    <row r="56" spans="1:9">
      <c r="A56" t="s">
        <v>73</v>
      </c>
      <c r="B56" t="s">
        <v>15</v>
      </c>
      <c r="C56" t="str">
        <f t="shared" si="0"/>
        <v>B</v>
      </c>
      <c r="D56" t="s">
        <v>20</v>
      </c>
      <c r="E56" t="s">
        <v>10</v>
      </c>
      <c r="F56" t="str">
        <f t="shared" si="1"/>
        <v>Mobile</v>
      </c>
      <c r="G56">
        <v>9</v>
      </c>
      <c r="H56">
        <v>1</v>
      </c>
      <c r="I56">
        <v>1756.14</v>
      </c>
    </row>
    <row r="57" spans="1:9">
      <c r="A57" t="s">
        <v>74</v>
      </c>
      <c r="B57" t="s">
        <v>8</v>
      </c>
      <c r="C57" t="str">
        <f t="shared" si="0"/>
        <v>A</v>
      </c>
      <c r="D57" t="s">
        <v>20</v>
      </c>
      <c r="E57" t="s">
        <v>10</v>
      </c>
      <c r="F57" t="str">
        <f t="shared" si="1"/>
        <v>Mobile</v>
      </c>
      <c r="G57">
        <v>7</v>
      </c>
      <c r="H57">
        <v>0</v>
      </c>
      <c r="I57">
        <v>0</v>
      </c>
    </row>
    <row r="58" spans="1:9">
      <c r="A58" t="s">
        <v>75</v>
      </c>
      <c r="B58" t="s">
        <v>15</v>
      </c>
      <c r="C58" t="str">
        <f t="shared" si="0"/>
        <v>B</v>
      </c>
      <c r="D58" t="s">
        <v>20</v>
      </c>
      <c r="E58" t="s">
        <v>10</v>
      </c>
      <c r="F58" t="str">
        <f t="shared" si="1"/>
        <v>Mobile</v>
      </c>
      <c r="G58">
        <v>7</v>
      </c>
      <c r="H58">
        <v>1</v>
      </c>
      <c r="I58">
        <v>1065.8499999999999</v>
      </c>
    </row>
    <row r="59" spans="1:9">
      <c r="A59" t="s">
        <v>76</v>
      </c>
      <c r="B59" t="s">
        <v>8</v>
      </c>
      <c r="C59" t="str">
        <f t="shared" si="0"/>
        <v>A</v>
      </c>
      <c r="D59" t="s">
        <v>9</v>
      </c>
      <c r="E59" t="s">
        <v>33</v>
      </c>
      <c r="F59" t="str">
        <f t="shared" si="1"/>
        <v>Desktop</v>
      </c>
      <c r="G59">
        <v>6</v>
      </c>
      <c r="H59">
        <v>0</v>
      </c>
      <c r="I59">
        <v>0</v>
      </c>
    </row>
    <row r="60" spans="1:9">
      <c r="A60" t="s">
        <v>77</v>
      </c>
      <c r="B60" t="s">
        <v>29</v>
      </c>
      <c r="C60" t="str">
        <f t="shared" si="0"/>
        <v>B</v>
      </c>
      <c r="D60" t="s">
        <v>18</v>
      </c>
      <c r="E60" t="s">
        <v>10</v>
      </c>
      <c r="F60" t="str">
        <f t="shared" si="1"/>
        <v>Mobile</v>
      </c>
      <c r="G60">
        <v>3</v>
      </c>
      <c r="H60">
        <v>0</v>
      </c>
      <c r="I60">
        <v>0</v>
      </c>
    </row>
    <row r="61" spans="1:9">
      <c r="A61" t="s">
        <v>78</v>
      </c>
      <c r="B61" t="s">
        <v>15</v>
      </c>
      <c r="C61" t="str">
        <f t="shared" si="0"/>
        <v>B</v>
      </c>
      <c r="D61" t="s">
        <v>20</v>
      </c>
      <c r="E61" t="s">
        <v>23</v>
      </c>
      <c r="F61" t="str">
        <f t="shared" si="1"/>
        <v>Desktop</v>
      </c>
      <c r="G61">
        <v>3</v>
      </c>
      <c r="H61">
        <v>0</v>
      </c>
      <c r="I61">
        <v>0</v>
      </c>
    </row>
    <row r="62" spans="1:9">
      <c r="A62" t="s">
        <v>79</v>
      </c>
      <c r="B62" t="s">
        <v>8</v>
      </c>
      <c r="C62" t="str">
        <f t="shared" si="0"/>
        <v>A</v>
      </c>
      <c r="D62" t="s">
        <v>9</v>
      </c>
      <c r="E62" t="s">
        <v>23</v>
      </c>
      <c r="F62" t="str">
        <f t="shared" si="1"/>
        <v>Desktop</v>
      </c>
      <c r="G62">
        <v>5</v>
      </c>
      <c r="H62">
        <v>0</v>
      </c>
      <c r="I62">
        <v>0</v>
      </c>
    </row>
    <row r="63" spans="1:9">
      <c r="A63" t="s">
        <v>80</v>
      </c>
      <c r="B63" t="s">
        <v>8</v>
      </c>
      <c r="C63" t="str">
        <f t="shared" si="0"/>
        <v>A</v>
      </c>
      <c r="D63" t="s">
        <v>20</v>
      </c>
      <c r="E63" t="s">
        <v>10</v>
      </c>
      <c r="F63" t="str">
        <f t="shared" si="1"/>
        <v>Mobile</v>
      </c>
      <c r="G63">
        <v>8</v>
      </c>
      <c r="H63">
        <v>0</v>
      </c>
      <c r="I63">
        <v>0</v>
      </c>
    </row>
    <row r="64" spans="1:9">
      <c r="A64" t="s">
        <v>81</v>
      </c>
      <c r="B64" t="s">
        <v>15</v>
      </c>
      <c r="C64" t="str">
        <f t="shared" si="0"/>
        <v>B</v>
      </c>
      <c r="D64" t="s">
        <v>13</v>
      </c>
      <c r="E64" t="s">
        <v>10</v>
      </c>
      <c r="F64" t="str">
        <f t="shared" si="1"/>
        <v>Mobile</v>
      </c>
      <c r="G64">
        <v>9</v>
      </c>
      <c r="H64">
        <v>0</v>
      </c>
      <c r="I64">
        <v>0</v>
      </c>
    </row>
    <row r="65" spans="1:9">
      <c r="A65" t="s">
        <v>82</v>
      </c>
      <c r="B65" t="s">
        <v>15</v>
      </c>
      <c r="C65" t="str">
        <f t="shared" si="0"/>
        <v>B</v>
      </c>
      <c r="D65" t="s">
        <v>20</v>
      </c>
      <c r="E65" t="s">
        <v>83</v>
      </c>
      <c r="F65" t="str">
        <f t="shared" si="1"/>
        <v>Tablet</v>
      </c>
      <c r="G65">
        <v>4</v>
      </c>
      <c r="H65">
        <v>0</v>
      </c>
      <c r="I65">
        <v>0</v>
      </c>
    </row>
    <row r="66" spans="1:9">
      <c r="A66" t="s">
        <v>84</v>
      </c>
      <c r="B66" t="s">
        <v>15</v>
      </c>
      <c r="C66" t="str">
        <f t="shared" ref="C66:C129" si="2">IF(OR(B66="control", B66="A"), "A", "B")</f>
        <v>B</v>
      </c>
      <c r="D66" t="s">
        <v>13</v>
      </c>
      <c r="E66" t="s">
        <v>10</v>
      </c>
      <c r="F66" t="str">
        <f t="shared" ref="F66:F129" si="3">PROPER(E66)</f>
        <v>Mobile</v>
      </c>
      <c r="G66">
        <v>5</v>
      </c>
      <c r="H66">
        <v>0</v>
      </c>
      <c r="I66">
        <v>0</v>
      </c>
    </row>
    <row r="67" spans="1:9">
      <c r="A67" t="s">
        <v>85</v>
      </c>
      <c r="B67" t="s">
        <v>15</v>
      </c>
      <c r="C67" t="str">
        <f t="shared" si="2"/>
        <v>B</v>
      </c>
      <c r="D67" t="s">
        <v>18</v>
      </c>
      <c r="E67" t="s">
        <v>23</v>
      </c>
      <c r="F67" t="str">
        <f t="shared" si="3"/>
        <v>Desktop</v>
      </c>
      <c r="G67">
        <v>6</v>
      </c>
      <c r="H67">
        <v>0</v>
      </c>
      <c r="I67">
        <v>0</v>
      </c>
    </row>
    <row r="68" spans="1:9">
      <c r="A68" t="s">
        <v>86</v>
      </c>
      <c r="B68" t="s">
        <v>8</v>
      </c>
      <c r="C68" t="str">
        <f t="shared" si="2"/>
        <v>A</v>
      </c>
      <c r="D68" t="s">
        <v>13</v>
      </c>
      <c r="E68" t="s">
        <v>10</v>
      </c>
      <c r="F68" t="str">
        <f t="shared" si="3"/>
        <v>Mobile</v>
      </c>
      <c r="G68">
        <v>10</v>
      </c>
      <c r="H68">
        <v>0</v>
      </c>
      <c r="I68">
        <v>0</v>
      </c>
    </row>
    <row r="69" spans="1:9">
      <c r="A69" t="s">
        <v>87</v>
      </c>
      <c r="B69" t="s">
        <v>8</v>
      </c>
      <c r="C69" t="str">
        <f t="shared" si="2"/>
        <v>A</v>
      </c>
      <c r="D69" t="s">
        <v>20</v>
      </c>
      <c r="E69" t="s">
        <v>10</v>
      </c>
      <c r="F69" t="str">
        <f t="shared" si="3"/>
        <v>Mobile</v>
      </c>
      <c r="G69">
        <v>8</v>
      </c>
      <c r="H69">
        <v>0</v>
      </c>
      <c r="I69">
        <v>0</v>
      </c>
    </row>
    <row r="70" spans="1:9">
      <c r="A70" t="s">
        <v>88</v>
      </c>
      <c r="B70" t="s">
        <v>8</v>
      </c>
      <c r="C70" t="str">
        <f t="shared" si="2"/>
        <v>A</v>
      </c>
      <c r="D70" t="s">
        <v>13</v>
      </c>
      <c r="E70" t="s">
        <v>10</v>
      </c>
      <c r="F70" t="str">
        <f t="shared" si="3"/>
        <v>Mobile</v>
      </c>
      <c r="G70">
        <v>5</v>
      </c>
      <c r="H70">
        <v>0</v>
      </c>
      <c r="I70">
        <v>0</v>
      </c>
    </row>
    <row r="71" spans="1:9">
      <c r="A71" t="s">
        <v>89</v>
      </c>
      <c r="B71" t="s">
        <v>15</v>
      </c>
      <c r="C71" t="str">
        <f t="shared" si="2"/>
        <v>B</v>
      </c>
      <c r="D71" t="s">
        <v>20</v>
      </c>
      <c r="E71" t="s">
        <v>10</v>
      </c>
      <c r="F71" t="str">
        <f t="shared" si="3"/>
        <v>Mobile</v>
      </c>
      <c r="G71">
        <v>6</v>
      </c>
      <c r="H71">
        <v>0</v>
      </c>
      <c r="I71">
        <v>0</v>
      </c>
    </row>
    <row r="72" spans="1:9">
      <c r="A72" t="s">
        <v>90</v>
      </c>
      <c r="B72" t="s">
        <v>15</v>
      </c>
      <c r="C72" t="str">
        <f t="shared" si="2"/>
        <v>B</v>
      </c>
      <c r="D72" t="s">
        <v>9</v>
      </c>
      <c r="E72" t="s">
        <v>10</v>
      </c>
      <c r="F72" t="str">
        <f t="shared" si="3"/>
        <v>Mobile</v>
      </c>
      <c r="G72">
        <v>4</v>
      </c>
      <c r="H72">
        <v>0</v>
      </c>
      <c r="I72">
        <v>0</v>
      </c>
    </row>
    <row r="73" spans="1:9">
      <c r="A73" t="s">
        <v>91</v>
      </c>
      <c r="B73" t="s">
        <v>8</v>
      </c>
      <c r="C73" t="str">
        <f t="shared" si="2"/>
        <v>A</v>
      </c>
      <c r="D73" t="s">
        <v>13</v>
      </c>
      <c r="E73" t="s">
        <v>16</v>
      </c>
      <c r="F73" t="str">
        <f t="shared" si="3"/>
        <v>Mobile</v>
      </c>
      <c r="G73">
        <v>5</v>
      </c>
      <c r="H73">
        <v>0</v>
      </c>
      <c r="I73">
        <v>0</v>
      </c>
    </row>
    <row r="74" spans="1:9">
      <c r="A74" t="s">
        <v>92</v>
      </c>
      <c r="B74" t="s">
        <v>8</v>
      </c>
      <c r="C74" t="str">
        <f t="shared" si="2"/>
        <v>A</v>
      </c>
      <c r="D74" t="s">
        <v>13</v>
      </c>
      <c r="E74" t="s">
        <v>10</v>
      </c>
      <c r="F74" t="str">
        <f t="shared" si="3"/>
        <v>Mobile</v>
      </c>
      <c r="G74">
        <v>7</v>
      </c>
      <c r="H74">
        <v>0</v>
      </c>
      <c r="I74">
        <v>0</v>
      </c>
    </row>
    <row r="75" spans="1:9">
      <c r="A75" t="s">
        <v>93</v>
      </c>
      <c r="B75" t="s">
        <v>8</v>
      </c>
      <c r="C75" t="str">
        <f t="shared" si="2"/>
        <v>A</v>
      </c>
      <c r="D75" t="s">
        <v>13</v>
      </c>
      <c r="E75" t="s">
        <v>10</v>
      </c>
      <c r="F75" t="str">
        <f t="shared" si="3"/>
        <v>Mobile</v>
      </c>
      <c r="G75">
        <v>3</v>
      </c>
      <c r="H75">
        <v>0</v>
      </c>
      <c r="I75">
        <v>0</v>
      </c>
    </row>
    <row r="76" spans="1:9">
      <c r="A76" t="s">
        <v>94</v>
      </c>
      <c r="B76" t="s">
        <v>8</v>
      </c>
      <c r="C76" t="str">
        <f t="shared" si="2"/>
        <v>A</v>
      </c>
      <c r="D76" t="s">
        <v>13</v>
      </c>
      <c r="E76" t="s">
        <v>10</v>
      </c>
      <c r="F76" t="str">
        <f t="shared" si="3"/>
        <v>Mobile</v>
      </c>
      <c r="G76">
        <v>9</v>
      </c>
      <c r="H76">
        <v>0</v>
      </c>
      <c r="I76">
        <v>0</v>
      </c>
    </row>
    <row r="77" spans="1:9">
      <c r="A77" t="s">
        <v>95</v>
      </c>
      <c r="B77" t="s">
        <v>15</v>
      </c>
      <c r="C77" t="str">
        <f t="shared" si="2"/>
        <v>B</v>
      </c>
      <c r="D77" t="s">
        <v>20</v>
      </c>
      <c r="E77" t="s">
        <v>23</v>
      </c>
      <c r="F77" t="str">
        <f t="shared" si="3"/>
        <v>Desktop</v>
      </c>
      <c r="G77">
        <v>6</v>
      </c>
      <c r="H77">
        <v>0</v>
      </c>
      <c r="I77">
        <v>0</v>
      </c>
    </row>
    <row r="78" spans="1:9">
      <c r="A78" t="s">
        <v>96</v>
      </c>
      <c r="B78" t="s">
        <v>15</v>
      </c>
      <c r="C78" t="str">
        <f t="shared" si="2"/>
        <v>B</v>
      </c>
      <c r="D78" t="s">
        <v>13</v>
      </c>
      <c r="E78" t="s">
        <v>10</v>
      </c>
      <c r="F78" t="str">
        <f t="shared" si="3"/>
        <v>Mobile</v>
      </c>
      <c r="G78">
        <v>5</v>
      </c>
      <c r="H78">
        <v>1</v>
      </c>
      <c r="I78">
        <v>2980.32</v>
      </c>
    </row>
    <row r="79" spans="1:9">
      <c r="A79" t="s">
        <v>97</v>
      </c>
      <c r="B79" t="s">
        <v>15</v>
      </c>
      <c r="C79" t="str">
        <f t="shared" si="2"/>
        <v>B</v>
      </c>
      <c r="D79" t="s">
        <v>20</v>
      </c>
      <c r="E79" t="s">
        <v>23</v>
      </c>
      <c r="F79" t="str">
        <f t="shared" si="3"/>
        <v>Desktop</v>
      </c>
      <c r="G79">
        <v>8</v>
      </c>
      <c r="H79">
        <v>0</v>
      </c>
      <c r="I79">
        <v>0</v>
      </c>
    </row>
    <row r="80" spans="1:9">
      <c r="A80" t="s">
        <v>98</v>
      </c>
      <c r="B80" t="s">
        <v>15</v>
      </c>
      <c r="C80" t="str">
        <f t="shared" si="2"/>
        <v>B</v>
      </c>
      <c r="D80" t="s">
        <v>13</v>
      </c>
      <c r="E80" t="s">
        <v>10</v>
      </c>
      <c r="F80" t="str">
        <f t="shared" si="3"/>
        <v>Mobile</v>
      </c>
      <c r="G80">
        <v>7</v>
      </c>
      <c r="H80">
        <v>0</v>
      </c>
      <c r="I80">
        <v>0</v>
      </c>
    </row>
    <row r="81" spans="1:9">
      <c r="A81" t="s">
        <v>99</v>
      </c>
      <c r="B81" t="s">
        <v>8</v>
      </c>
      <c r="C81" t="str">
        <f t="shared" si="2"/>
        <v>A</v>
      </c>
      <c r="D81" t="s">
        <v>9</v>
      </c>
      <c r="E81" t="s">
        <v>10</v>
      </c>
      <c r="F81" t="str">
        <f t="shared" si="3"/>
        <v>Mobile</v>
      </c>
      <c r="G81">
        <v>8</v>
      </c>
      <c r="H81">
        <v>0</v>
      </c>
      <c r="I81">
        <v>0</v>
      </c>
    </row>
    <row r="82" spans="1:9">
      <c r="A82" t="s">
        <v>100</v>
      </c>
      <c r="B82" t="s">
        <v>15</v>
      </c>
      <c r="C82" t="str">
        <f t="shared" si="2"/>
        <v>B</v>
      </c>
      <c r="D82" t="s">
        <v>9</v>
      </c>
      <c r="E82" t="s">
        <v>10</v>
      </c>
      <c r="F82" t="str">
        <f t="shared" si="3"/>
        <v>Mobile</v>
      </c>
      <c r="G82">
        <v>5</v>
      </c>
      <c r="H82">
        <v>0</v>
      </c>
      <c r="I82">
        <v>0</v>
      </c>
    </row>
    <row r="83" spans="1:9">
      <c r="A83" t="s">
        <v>101</v>
      </c>
      <c r="B83" t="s">
        <v>15</v>
      </c>
      <c r="C83" t="str">
        <f t="shared" si="2"/>
        <v>B</v>
      </c>
      <c r="D83" t="s">
        <v>13</v>
      </c>
      <c r="E83" t="s">
        <v>16</v>
      </c>
      <c r="F83" t="str">
        <f t="shared" si="3"/>
        <v>Mobile</v>
      </c>
      <c r="G83">
        <v>4</v>
      </c>
      <c r="H83">
        <v>0</v>
      </c>
      <c r="I83">
        <v>0</v>
      </c>
    </row>
    <row r="84" spans="1:9">
      <c r="A84" t="s">
        <v>102</v>
      </c>
      <c r="B84" t="s">
        <v>15</v>
      </c>
      <c r="C84" t="str">
        <f t="shared" si="2"/>
        <v>B</v>
      </c>
      <c r="D84" t="s">
        <v>13</v>
      </c>
      <c r="E84" t="s">
        <v>10</v>
      </c>
      <c r="F84" t="str">
        <f t="shared" si="3"/>
        <v>Mobile</v>
      </c>
      <c r="G84">
        <v>9</v>
      </c>
      <c r="H84">
        <v>0</v>
      </c>
      <c r="I84">
        <v>0</v>
      </c>
    </row>
    <row r="85" spans="1:9">
      <c r="A85" t="s">
        <v>103</v>
      </c>
      <c r="B85" t="s">
        <v>15</v>
      </c>
      <c r="C85" t="str">
        <f t="shared" si="2"/>
        <v>B</v>
      </c>
      <c r="D85" t="s">
        <v>20</v>
      </c>
      <c r="E85" t="s">
        <v>10</v>
      </c>
      <c r="F85" t="str">
        <f t="shared" si="3"/>
        <v>Mobile</v>
      </c>
      <c r="G85">
        <v>7</v>
      </c>
      <c r="H85">
        <v>0</v>
      </c>
      <c r="I85">
        <v>0</v>
      </c>
    </row>
    <row r="86" spans="1:9">
      <c r="A86" t="s">
        <v>104</v>
      </c>
      <c r="B86" t="s">
        <v>15</v>
      </c>
      <c r="C86" t="str">
        <f t="shared" si="2"/>
        <v>B</v>
      </c>
      <c r="D86" t="s">
        <v>9</v>
      </c>
      <c r="E86" t="s">
        <v>10</v>
      </c>
      <c r="F86" t="str">
        <f t="shared" si="3"/>
        <v>Mobile</v>
      </c>
      <c r="G86">
        <v>4</v>
      </c>
      <c r="H86">
        <v>0</v>
      </c>
      <c r="I86">
        <v>0</v>
      </c>
    </row>
    <row r="87" spans="1:9">
      <c r="A87" t="s">
        <v>105</v>
      </c>
      <c r="B87" t="s">
        <v>15</v>
      </c>
      <c r="C87" t="str">
        <f t="shared" si="2"/>
        <v>B</v>
      </c>
      <c r="D87" t="s">
        <v>20</v>
      </c>
      <c r="E87" t="s">
        <v>16</v>
      </c>
      <c r="F87" t="str">
        <f t="shared" si="3"/>
        <v>Mobile</v>
      </c>
      <c r="G87">
        <v>6</v>
      </c>
      <c r="H87">
        <v>0</v>
      </c>
      <c r="I87">
        <v>0</v>
      </c>
    </row>
    <row r="88" spans="1:9">
      <c r="A88" t="s">
        <v>106</v>
      </c>
      <c r="B88" t="s">
        <v>8</v>
      </c>
      <c r="C88" t="str">
        <f t="shared" si="2"/>
        <v>A</v>
      </c>
      <c r="D88" t="s">
        <v>13</v>
      </c>
      <c r="E88" t="s">
        <v>10</v>
      </c>
      <c r="F88" t="str">
        <f t="shared" si="3"/>
        <v>Mobile</v>
      </c>
      <c r="G88">
        <v>7</v>
      </c>
      <c r="H88">
        <v>0</v>
      </c>
      <c r="I88">
        <v>0</v>
      </c>
    </row>
    <row r="89" spans="1:9">
      <c r="A89" t="s">
        <v>107</v>
      </c>
      <c r="B89" t="s">
        <v>8</v>
      </c>
      <c r="C89" t="str">
        <f t="shared" si="2"/>
        <v>A</v>
      </c>
      <c r="D89" t="s">
        <v>20</v>
      </c>
      <c r="E89" t="s">
        <v>10</v>
      </c>
      <c r="F89" t="str">
        <f t="shared" si="3"/>
        <v>Mobile</v>
      </c>
      <c r="G89">
        <v>4</v>
      </c>
      <c r="H89">
        <v>0</v>
      </c>
      <c r="I89">
        <v>0</v>
      </c>
    </row>
    <row r="90" spans="1:9">
      <c r="A90" t="s">
        <v>108</v>
      </c>
      <c r="B90" t="s">
        <v>8</v>
      </c>
      <c r="C90" t="str">
        <f t="shared" si="2"/>
        <v>A</v>
      </c>
      <c r="D90" t="s">
        <v>20</v>
      </c>
      <c r="E90" t="s">
        <v>10</v>
      </c>
      <c r="F90" t="str">
        <f t="shared" si="3"/>
        <v>Mobile</v>
      </c>
      <c r="G90">
        <v>7</v>
      </c>
      <c r="H90">
        <v>0</v>
      </c>
      <c r="I90">
        <v>0</v>
      </c>
    </row>
    <row r="91" spans="1:9">
      <c r="A91" t="s">
        <v>109</v>
      </c>
      <c r="B91" t="s">
        <v>8</v>
      </c>
      <c r="C91" t="str">
        <f t="shared" si="2"/>
        <v>A</v>
      </c>
      <c r="D91" t="s">
        <v>13</v>
      </c>
      <c r="E91" t="s">
        <v>10</v>
      </c>
      <c r="F91" t="str">
        <f t="shared" si="3"/>
        <v>Mobile</v>
      </c>
      <c r="G91">
        <v>3</v>
      </c>
      <c r="H91">
        <v>0</v>
      </c>
      <c r="I91">
        <v>0</v>
      </c>
    </row>
    <row r="92" spans="1:9">
      <c r="A92" t="s">
        <v>110</v>
      </c>
      <c r="B92" t="s">
        <v>15</v>
      </c>
      <c r="C92" t="str">
        <f t="shared" si="2"/>
        <v>B</v>
      </c>
      <c r="D92" t="s">
        <v>20</v>
      </c>
      <c r="E92" t="s">
        <v>23</v>
      </c>
      <c r="F92" t="str">
        <f t="shared" si="3"/>
        <v>Desktop</v>
      </c>
      <c r="G92">
        <v>4</v>
      </c>
      <c r="H92">
        <v>0</v>
      </c>
      <c r="I92">
        <v>0</v>
      </c>
    </row>
    <row r="93" spans="1:9">
      <c r="A93" t="s">
        <v>111</v>
      </c>
      <c r="B93" t="s">
        <v>8</v>
      </c>
      <c r="C93" t="str">
        <f t="shared" si="2"/>
        <v>A</v>
      </c>
      <c r="D93" t="s">
        <v>13</v>
      </c>
      <c r="E93" t="s">
        <v>23</v>
      </c>
      <c r="F93" t="str">
        <f t="shared" si="3"/>
        <v>Desktop</v>
      </c>
      <c r="G93">
        <v>7</v>
      </c>
      <c r="H93">
        <v>0</v>
      </c>
      <c r="I93">
        <v>0</v>
      </c>
    </row>
    <row r="94" spans="1:9">
      <c r="A94" t="s">
        <v>112</v>
      </c>
      <c r="B94" t="s">
        <v>15</v>
      </c>
      <c r="C94" t="str">
        <f t="shared" si="2"/>
        <v>B</v>
      </c>
      <c r="D94" t="s">
        <v>20</v>
      </c>
      <c r="E94" t="s">
        <v>10</v>
      </c>
      <c r="F94" t="str">
        <f t="shared" si="3"/>
        <v>Mobile</v>
      </c>
      <c r="G94">
        <v>5</v>
      </c>
      <c r="H94">
        <v>0</v>
      </c>
      <c r="I94">
        <v>0</v>
      </c>
    </row>
    <row r="95" spans="1:9">
      <c r="A95" t="s">
        <v>113</v>
      </c>
      <c r="B95" t="s">
        <v>15</v>
      </c>
      <c r="C95" t="str">
        <f t="shared" si="2"/>
        <v>B</v>
      </c>
      <c r="D95" t="s">
        <v>20</v>
      </c>
      <c r="E95" t="s">
        <v>10</v>
      </c>
      <c r="F95" t="str">
        <f t="shared" si="3"/>
        <v>Mobile</v>
      </c>
      <c r="G95">
        <v>6</v>
      </c>
      <c r="H95">
        <v>0</v>
      </c>
      <c r="I95">
        <v>0</v>
      </c>
    </row>
    <row r="96" spans="1:9">
      <c r="A96" t="s">
        <v>114</v>
      </c>
      <c r="B96" t="s">
        <v>8</v>
      </c>
      <c r="C96" t="str">
        <f t="shared" si="2"/>
        <v>A</v>
      </c>
      <c r="D96" t="s">
        <v>13</v>
      </c>
      <c r="E96" t="s">
        <v>10</v>
      </c>
      <c r="F96" t="str">
        <f t="shared" si="3"/>
        <v>Mobile</v>
      </c>
      <c r="G96">
        <v>3</v>
      </c>
      <c r="H96">
        <v>0</v>
      </c>
      <c r="I96">
        <v>0</v>
      </c>
    </row>
    <row r="97" spans="1:9">
      <c r="A97" t="s">
        <v>115</v>
      </c>
      <c r="B97" t="s">
        <v>8</v>
      </c>
      <c r="C97" t="str">
        <f t="shared" si="2"/>
        <v>A</v>
      </c>
      <c r="D97" t="s">
        <v>20</v>
      </c>
      <c r="E97" t="s">
        <v>10</v>
      </c>
      <c r="F97" t="str">
        <f t="shared" si="3"/>
        <v>Mobile</v>
      </c>
      <c r="G97">
        <v>4</v>
      </c>
      <c r="H97">
        <v>0</v>
      </c>
      <c r="I97">
        <v>0</v>
      </c>
    </row>
    <row r="98" spans="1:9">
      <c r="A98" t="s">
        <v>116</v>
      </c>
      <c r="B98" t="s">
        <v>15</v>
      </c>
      <c r="C98" t="str">
        <f t="shared" si="2"/>
        <v>B</v>
      </c>
      <c r="D98" t="s">
        <v>20</v>
      </c>
      <c r="E98" t="s">
        <v>10</v>
      </c>
      <c r="F98" t="str">
        <f t="shared" si="3"/>
        <v>Mobile</v>
      </c>
      <c r="G98">
        <v>6</v>
      </c>
      <c r="H98">
        <v>0</v>
      </c>
      <c r="I98">
        <v>0</v>
      </c>
    </row>
    <row r="99" spans="1:9">
      <c r="A99" t="s">
        <v>117</v>
      </c>
      <c r="B99" t="s">
        <v>8</v>
      </c>
      <c r="C99" t="str">
        <f t="shared" si="2"/>
        <v>A</v>
      </c>
      <c r="D99" t="s">
        <v>13</v>
      </c>
      <c r="E99" t="s">
        <v>23</v>
      </c>
      <c r="F99" t="str">
        <f t="shared" si="3"/>
        <v>Desktop</v>
      </c>
      <c r="G99">
        <v>6</v>
      </c>
      <c r="H99">
        <v>0</v>
      </c>
      <c r="I99">
        <v>0</v>
      </c>
    </row>
    <row r="100" spans="1:9">
      <c r="A100" t="s">
        <v>118</v>
      </c>
      <c r="B100" t="s">
        <v>8</v>
      </c>
      <c r="C100" t="str">
        <f t="shared" si="2"/>
        <v>A</v>
      </c>
      <c r="D100" t="s">
        <v>20</v>
      </c>
      <c r="E100" t="s">
        <v>33</v>
      </c>
      <c r="F100" t="str">
        <f t="shared" si="3"/>
        <v>Desktop</v>
      </c>
      <c r="G100">
        <v>5</v>
      </c>
      <c r="H100">
        <v>0</v>
      </c>
      <c r="I100">
        <v>0</v>
      </c>
    </row>
    <row r="101" spans="1:9">
      <c r="A101" t="s">
        <v>119</v>
      </c>
      <c r="B101" t="s">
        <v>8</v>
      </c>
      <c r="C101" t="str">
        <f t="shared" si="2"/>
        <v>A</v>
      </c>
      <c r="D101" t="s">
        <v>9</v>
      </c>
      <c r="E101" t="s">
        <v>83</v>
      </c>
      <c r="F101" t="str">
        <f t="shared" si="3"/>
        <v>Tablet</v>
      </c>
      <c r="G101">
        <v>6</v>
      </c>
      <c r="H101">
        <v>0</v>
      </c>
      <c r="I101">
        <v>0</v>
      </c>
    </row>
    <row r="102" spans="1:9">
      <c r="A102" t="s">
        <v>120</v>
      </c>
      <c r="B102" t="s">
        <v>8</v>
      </c>
      <c r="C102" t="str">
        <f t="shared" si="2"/>
        <v>A</v>
      </c>
      <c r="D102" t="s">
        <v>20</v>
      </c>
      <c r="E102" t="s">
        <v>16</v>
      </c>
      <c r="F102" t="str">
        <f t="shared" si="3"/>
        <v>Mobile</v>
      </c>
      <c r="G102">
        <v>9</v>
      </c>
      <c r="H102">
        <v>0</v>
      </c>
      <c r="I102">
        <v>0</v>
      </c>
    </row>
    <row r="103" spans="1:9">
      <c r="A103" t="s">
        <v>121</v>
      </c>
      <c r="B103" t="s">
        <v>12</v>
      </c>
      <c r="C103" t="str">
        <f t="shared" si="2"/>
        <v>A</v>
      </c>
      <c r="D103" t="s">
        <v>20</v>
      </c>
      <c r="E103" t="s">
        <v>23</v>
      </c>
      <c r="F103" t="str">
        <f t="shared" si="3"/>
        <v>Desktop</v>
      </c>
      <c r="G103">
        <v>7</v>
      </c>
      <c r="H103">
        <v>1</v>
      </c>
      <c r="I103">
        <v>1162.32</v>
      </c>
    </row>
    <row r="104" spans="1:9">
      <c r="A104" t="s">
        <v>122</v>
      </c>
      <c r="B104" t="s">
        <v>15</v>
      </c>
      <c r="C104" t="str">
        <f t="shared" si="2"/>
        <v>B</v>
      </c>
      <c r="D104" t="s">
        <v>13</v>
      </c>
      <c r="E104" t="s">
        <v>23</v>
      </c>
      <c r="F104" t="str">
        <f t="shared" si="3"/>
        <v>Desktop</v>
      </c>
      <c r="G104">
        <v>4</v>
      </c>
      <c r="H104">
        <v>0</v>
      </c>
      <c r="I104">
        <v>0</v>
      </c>
    </row>
    <row r="105" spans="1:9">
      <c r="A105" t="s">
        <v>123</v>
      </c>
      <c r="B105" t="s">
        <v>15</v>
      </c>
      <c r="C105" t="str">
        <f t="shared" si="2"/>
        <v>B</v>
      </c>
      <c r="D105" t="s">
        <v>20</v>
      </c>
      <c r="E105" t="s">
        <v>10</v>
      </c>
      <c r="F105" t="str">
        <f t="shared" si="3"/>
        <v>Mobile</v>
      </c>
      <c r="G105">
        <v>6</v>
      </c>
      <c r="H105">
        <v>0</v>
      </c>
      <c r="I105">
        <v>0</v>
      </c>
    </row>
    <row r="106" spans="1:9">
      <c r="A106" t="s">
        <v>124</v>
      </c>
      <c r="B106" t="s">
        <v>15</v>
      </c>
      <c r="C106" t="str">
        <f t="shared" si="2"/>
        <v>B</v>
      </c>
      <c r="D106" t="s">
        <v>20</v>
      </c>
      <c r="E106" t="s">
        <v>23</v>
      </c>
      <c r="F106" t="str">
        <f t="shared" si="3"/>
        <v>Desktop</v>
      </c>
      <c r="G106">
        <v>6</v>
      </c>
      <c r="H106">
        <v>0</v>
      </c>
      <c r="I106">
        <v>0</v>
      </c>
    </row>
    <row r="107" spans="1:9">
      <c r="A107" t="s">
        <v>125</v>
      </c>
      <c r="B107" t="s">
        <v>15</v>
      </c>
      <c r="C107" t="str">
        <f t="shared" si="2"/>
        <v>B</v>
      </c>
      <c r="D107" t="s">
        <v>20</v>
      </c>
      <c r="E107" t="s">
        <v>10</v>
      </c>
      <c r="F107" t="str">
        <f t="shared" si="3"/>
        <v>Mobile</v>
      </c>
      <c r="G107">
        <v>7</v>
      </c>
      <c r="H107">
        <v>0</v>
      </c>
      <c r="I107">
        <v>0</v>
      </c>
    </row>
    <row r="108" spans="1:9">
      <c r="A108" t="s">
        <v>126</v>
      </c>
      <c r="B108" t="s">
        <v>8</v>
      </c>
      <c r="C108" t="str">
        <f t="shared" si="2"/>
        <v>A</v>
      </c>
      <c r="D108" t="s">
        <v>20</v>
      </c>
      <c r="E108" t="s">
        <v>10</v>
      </c>
      <c r="F108" t="str">
        <f t="shared" si="3"/>
        <v>Mobile</v>
      </c>
      <c r="G108">
        <v>4</v>
      </c>
      <c r="H108">
        <v>0</v>
      </c>
      <c r="I108">
        <v>0</v>
      </c>
    </row>
    <row r="109" spans="1:9">
      <c r="A109" t="s">
        <v>127</v>
      </c>
      <c r="B109" t="s">
        <v>15</v>
      </c>
      <c r="C109" t="str">
        <f t="shared" si="2"/>
        <v>B</v>
      </c>
      <c r="D109" t="s">
        <v>9</v>
      </c>
      <c r="E109" t="s">
        <v>23</v>
      </c>
      <c r="F109" t="str">
        <f t="shared" si="3"/>
        <v>Desktop</v>
      </c>
      <c r="G109">
        <v>5</v>
      </c>
      <c r="H109">
        <v>0</v>
      </c>
      <c r="I109">
        <v>0</v>
      </c>
    </row>
    <row r="110" spans="1:9">
      <c r="A110" t="s">
        <v>128</v>
      </c>
      <c r="B110" t="s">
        <v>15</v>
      </c>
      <c r="C110" t="str">
        <f t="shared" si="2"/>
        <v>B</v>
      </c>
      <c r="D110" t="s">
        <v>20</v>
      </c>
      <c r="E110" t="s">
        <v>10</v>
      </c>
      <c r="F110" t="str">
        <f t="shared" si="3"/>
        <v>Mobile</v>
      </c>
      <c r="G110">
        <v>5</v>
      </c>
      <c r="H110">
        <v>0</v>
      </c>
      <c r="I110">
        <v>0</v>
      </c>
    </row>
    <row r="111" spans="1:9">
      <c r="A111" t="s">
        <v>129</v>
      </c>
      <c r="B111" t="s">
        <v>15</v>
      </c>
      <c r="C111" t="str">
        <f t="shared" si="2"/>
        <v>B</v>
      </c>
      <c r="D111" t="s">
        <v>9</v>
      </c>
      <c r="E111" t="s">
        <v>10</v>
      </c>
      <c r="F111" t="str">
        <f t="shared" si="3"/>
        <v>Mobile</v>
      </c>
      <c r="G111">
        <v>1</v>
      </c>
      <c r="H111">
        <v>1</v>
      </c>
      <c r="I111">
        <v>5574.65</v>
      </c>
    </row>
    <row r="112" spans="1:9">
      <c r="A112" t="s">
        <v>130</v>
      </c>
      <c r="B112" t="s">
        <v>15</v>
      </c>
      <c r="C112" t="str">
        <f t="shared" si="2"/>
        <v>B</v>
      </c>
      <c r="D112" t="s">
        <v>9</v>
      </c>
      <c r="E112" t="s">
        <v>33</v>
      </c>
      <c r="F112" t="str">
        <f t="shared" si="3"/>
        <v>Desktop</v>
      </c>
      <c r="G112">
        <v>1</v>
      </c>
      <c r="H112">
        <v>1</v>
      </c>
      <c r="I112">
        <v>4537.49</v>
      </c>
    </row>
    <row r="113" spans="1:9">
      <c r="A113" t="s">
        <v>131</v>
      </c>
      <c r="B113" t="s">
        <v>8</v>
      </c>
      <c r="C113" t="str">
        <f t="shared" si="2"/>
        <v>A</v>
      </c>
      <c r="D113" t="s">
        <v>13</v>
      </c>
      <c r="E113" t="s">
        <v>10</v>
      </c>
      <c r="F113" t="str">
        <f t="shared" si="3"/>
        <v>Mobile</v>
      </c>
      <c r="G113">
        <v>1</v>
      </c>
      <c r="H113">
        <v>0</v>
      </c>
      <c r="I113">
        <v>0</v>
      </c>
    </row>
    <row r="114" spans="1:9">
      <c r="A114" t="s">
        <v>132</v>
      </c>
      <c r="B114" t="s">
        <v>8</v>
      </c>
      <c r="C114" t="str">
        <f t="shared" si="2"/>
        <v>A</v>
      </c>
      <c r="D114" t="s">
        <v>9</v>
      </c>
      <c r="E114" t="s">
        <v>10</v>
      </c>
      <c r="F114" t="str">
        <f t="shared" si="3"/>
        <v>Mobile</v>
      </c>
      <c r="G114">
        <v>1</v>
      </c>
      <c r="H114">
        <v>0</v>
      </c>
      <c r="I114">
        <v>0</v>
      </c>
    </row>
    <row r="115" spans="1:9">
      <c r="A115" t="s">
        <v>133</v>
      </c>
      <c r="B115" t="s">
        <v>8</v>
      </c>
      <c r="C115" t="str">
        <f t="shared" si="2"/>
        <v>A</v>
      </c>
      <c r="D115" t="s">
        <v>20</v>
      </c>
      <c r="E115" t="s">
        <v>33</v>
      </c>
      <c r="F115" t="str">
        <f t="shared" si="3"/>
        <v>Desktop</v>
      </c>
      <c r="G115">
        <v>1</v>
      </c>
      <c r="H115">
        <v>0</v>
      </c>
      <c r="I115">
        <v>0</v>
      </c>
    </row>
    <row r="116" spans="1:9">
      <c r="A116" t="s">
        <v>134</v>
      </c>
      <c r="B116" t="s">
        <v>8</v>
      </c>
      <c r="C116" t="str">
        <f t="shared" si="2"/>
        <v>A</v>
      </c>
      <c r="D116" t="s">
        <v>18</v>
      </c>
      <c r="E116" t="s">
        <v>23</v>
      </c>
      <c r="F116" t="str">
        <f t="shared" si="3"/>
        <v>Desktop</v>
      </c>
      <c r="G116">
        <v>1</v>
      </c>
      <c r="H116">
        <v>0</v>
      </c>
      <c r="I116">
        <v>0</v>
      </c>
    </row>
    <row r="117" spans="1:9">
      <c r="A117" t="s">
        <v>135</v>
      </c>
      <c r="B117" t="s">
        <v>15</v>
      </c>
      <c r="C117" t="str">
        <f t="shared" si="2"/>
        <v>B</v>
      </c>
      <c r="D117" t="s">
        <v>20</v>
      </c>
      <c r="E117" t="s">
        <v>23</v>
      </c>
      <c r="F117" t="str">
        <f t="shared" si="3"/>
        <v>Desktop</v>
      </c>
      <c r="G117">
        <v>1</v>
      </c>
      <c r="H117">
        <v>0</v>
      </c>
      <c r="I117">
        <v>0</v>
      </c>
    </row>
    <row r="118" spans="1:9">
      <c r="A118" t="s">
        <v>136</v>
      </c>
      <c r="B118" t="s">
        <v>15</v>
      </c>
      <c r="C118" t="str">
        <f t="shared" si="2"/>
        <v>B</v>
      </c>
      <c r="D118" t="s">
        <v>13</v>
      </c>
      <c r="E118" t="s">
        <v>10</v>
      </c>
      <c r="F118" t="str">
        <f t="shared" si="3"/>
        <v>Mobile</v>
      </c>
      <c r="G118">
        <v>1</v>
      </c>
      <c r="H118">
        <v>0</v>
      </c>
      <c r="I118">
        <v>0</v>
      </c>
    </row>
    <row r="119" spans="1:9">
      <c r="A119" t="s">
        <v>137</v>
      </c>
      <c r="B119" t="s">
        <v>8</v>
      </c>
      <c r="C119" t="str">
        <f t="shared" si="2"/>
        <v>A</v>
      </c>
      <c r="D119" t="s">
        <v>13</v>
      </c>
      <c r="E119" t="s">
        <v>10</v>
      </c>
      <c r="F119" t="str">
        <f t="shared" si="3"/>
        <v>Mobile</v>
      </c>
      <c r="G119">
        <v>1</v>
      </c>
      <c r="H119">
        <v>0</v>
      </c>
      <c r="I119">
        <v>0</v>
      </c>
    </row>
    <row r="120" spans="1:9">
      <c r="A120" t="s">
        <v>138</v>
      </c>
      <c r="B120" t="s">
        <v>15</v>
      </c>
      <c r="C120" t="str">
        <f t="shared" si="2"/>
        <v>B</v>
      </c>
      <c r="D120" t="s">
        <v>20</v>
      </c>
      <c r="E120" t="s">
        <v>16</v>
      </c>
      <c r="F120" t="str">
        <f t="shared" si="3"/>
        <v>Mobile</v>
      </c>
      <c r="G120">
        <v>1</v>
      </c>
      <c r="H120">
        <v>0</v>
      </c>
      <c r="I120">
        <v>0</v>
      </c>
    </row>
    <row r="121" spans="1:9">
      <c r="A121" t="s">
        <v>139</v>
      </c>
      <c r="B121" t="s">
        <v>8</v>
      </c>
      <c r="C121" t="str">
        <f t="shared" si="2"/>
        <v>A</v>
      </c>
      <c r="D121" t="s">
        <v>13</v>
      </c>
      <c r="E121" t="s">
        <v>23</v>
      </c>
      <c r="F121" t="str">
        <f t="shared" si="3"/>
        <v>Desktop</v>
      </c>
      <c r="G121">
        <v>1</v>
      </c>
      <c r="H121">
        <v>0</v>
      </c>
      <c r="I121">
        <v>0</v>
      </c>
    </row>
    <row r="122" spans="1:9">
      <c r="A122" t="s">
        <v>140</v>
      </c>
      <c r="B122" t="s">
        <v>8</v>
      </c>
      <c r="C122" t="str">
        <f t="shared" si="2"/>
        <v>A</v>
      </c>
      <c r="D122" t="s">
        <v>13</v>
      </c>
      <c r="E122" t="s">
        <v>10</v>
      </c>
      <c r="F122" t="str">
        <f t="shared" si="3"/>
        <v>Mobile</v>
      </c>
      <c r="G122">
        <v>7</v>
      </c>
      <c r="H122">
        <v>0</v>
      </c>
      <c r="I122">
        <v>0</v>
      </c>
    </row>
    <row r="123" spans="1:9">
      <c r="A123" t="s">
        <v>141</v>
      </c>
      <c r="B123" t="s">
        <v>8</v>
      </c>
      <c r="C123" t="str">
        <f t="shared" si="2"/>
        <v>A</v>
      </c>
      <c r="D123" t="s">
        <v>20</v>
      </c>
      <c r="E123" t="s">
        <v>10</v>
      </c>
      <c r="F123" t="str">
        <f t="shared" si="3"/>
        <v>Mobile</v>
      </c>
      <c r="G123">
        <v>5</v>
      </c>
      <c r="H123">
        <v>0</v>
      </c>
      <c r="I123">
        <v>0</v>
      </c>
    </row>
    <row r="124" spans="1:9">
      <c r="A124" t="s">
        <v>142</v>
      </c>
      <c r="B124" t="s">
        <v>8</v>
      </c>
      <c r="C124" t="str">
        <f t="shared" si="2"/>
        <v>A</v>
      </c>
      <c r="D124" t="s">
        <v>20</v>
      </c>
      <c r="E124" t="s">
        <v>10</v>
      </c>
      <c r="F124" t="str">
        <f t="shared" si="3"/>
        <v>Mobile</v>
      </c>
      <c r="G124">
        <v>13</v>
      </c>
      <c r="H124">
        <v>0</v>
      </c>
      <c r="I124">
        <v>0</v>
      </c>
    </row>
    <row r="125" spans="1:9">
      <c r="A125" t="s">
        <v>143</v>
      </c>
      <c r="B125" t="s">
        <v>12</v>
      </c>
      <c r="C125" t="str">
        <f t="shared" si="2"/>
        <v>A</v>
      </c>
      <c r="D125" t="s">
        <v>13</v>
      </c>
      <c r="E125" t="s">
        <v>33</v>
      </c>
      <c r="F125" t="str">
        <f t="shared" si="3"/>
        <v>Desktop</v>
      </c>
      <c r="G125">
        <v>1</v>
      </c>
      <c r="H125">
        <v>0</v>
      </c>
      <c r="I125">
        <v>0</v>
      </c>
    </row>
    <row r="126" spans="1:9">
      <c r="A126" t="s">
        <v>144</v>
      </c>
      <c r="B126" t="s">
        <v>8</v>
      </c>
      <c r="C126" t="str">
        <f t="shared" si="2"/>
        <v>A</v>
      </c>
      <c r="D126" t="s">
        <v>13</v>
      </c>
      <c r="E126" t="s">
        <v>10</v>
      </c>
      <c r="F126" t="str">
        <f t="shared" si="3"/>
        <v>Mobile</v>
      </c>
      <c r="G126">
        <v>6</v>
      </c>
      <c r="H126">
        <v>0</v>
      </c>
      <c r="I126">
        <v>0</v>
      </c>
    </row>
    <row r="127" spans="1:9">
      <c r="A127" t="s">
        <v>145</v>
      </c>
      <c r="B127" t="s">
        <v>15</v>
      </c>
      <c r="C127" t="str">
        <f t="shared" si="2"/>
        <v>B</v>
      </c>
      <c r="D127" t="s">
        <v>18</v>
      </c>
      <c r="E127" t="s">
        <v>23</v>
      </c>
      <c r="F127" t="str">
        <f t="shared" si="3"/>
        <v>Desktop</v>
      </c>
      <c r="G127">
        <v>4</v>
      </c>
      <c r="H127">
        <v>0</v>
      </c>
      <c r="I127">
        <v>0</v>
      </c>
    </row>
    <row r="128" spans="1:9">
      <c r="A128" t="s">
        <v>146</v>
      </c>
      <c r="B128" t="s">
        <v>15</v>
      </c>
      <c r="C128" t="str">
        <f t="shared" si="2"/>
        <v>B</v>
      </c>
      <c r="D128" t="s">
        <v>13</v>
      </c>
      <c r="E128" t="s">
        <v>10</v>
      </c>
      <c r="F128" t="str">
        <f t="shared" si="3"/>
        <v>Mobile</v>
      </c>
      <c r="G128">
        <v>3</v>
      </c>
      <c r="H128">
        <v>0</v>
      </c>
      <c r="I128">
        <v>0</v>
      </c>
    </row>
    <row r="129" spans="1:9">
      <c r="A129" t="s">
        <v>147</v>
      </c>
      <c r="B129" t="s">
        <v>8</v>
      </c>
      <c r="C129" t="str">
        <f t="shared" si="2"/>
        <v>A</v>
      </c>
      <c r="D129" t="s">
        <v>18</v>
      </c>
      <c r="E129" t="s">
        <v>23</v>
      </c>
      <c r="F129" t="str">
        <f t="shared" si="3"/>
        <v>Desktop</v>
      </c>
      <c r="G129">
        <v>4</v>
      </c>
      <c r="H129">
        <v>0</v>
      </c>
      <c r="I129">
        <v>0</v>
      </c>
    </row>
    <row r="130" spans="1:9">
      <c r="A130" t="s">
        <v>148</v>
      </c>
      <c r="B130" t="s">
        <v>29</v>
      </c>
      <c r="C130" t="str">
        <f t="shared" ref="C130:C193" si="4">IF(OR(B130="control", B130="A"), "A", "B")</f>
        <v>B</v>
      </c>
      <c r="D130" t="s">
        <v>13</v>
      </c>
      <c r="E130" t="s">
        <v>33</v>
      </c>
      <c r="F130" t="str">
        <f t="shared" ref="F130:F193" si="5">PROPER(E130)</f>
        <v>Desktop</v>
      </c>
      <c r="G130">
        <v>3</v>
      </c>
      <c r="H130">
        <v>0</v>
      </c>
      <c r="I130">
        <v>0</v>
      </c>
    </row>
    <row r="131" spans="1:9">
      <c r="A131" t="s">
        <v>149</v>
      </c>
      <c r="B131" t="s">
        <v>29</v>
      </c>
      <c r="C131" t="str">
        <f t="shared" si="4"/>
        <v>B</v>
      </c>
      <c r="D131" t="s">
        <v>20</v>
      </c>
      <c r="E131" t="s">
        <v>23</v>
      </c>
      <c r="F131" t="str">
        <f t="shared" si="5"/>
        <v>Desktop</v>
      </c>
      <c r="G131">
        <v>4</v>
      </c>
      <c r="H131">
        <v>0</v>
      </c>
      <c r="I131">
        <v>0</v>
      </c>
    </row>
    <row r="132" spans="1:9">
      <c r="A132" t="s">
        <v>150</v>
      </c>
      <c r="B132" t="s">
        <v>8</v>
      </c>
      <c r="C132" t="str">
        <f t="shared" si="4"/>
        <v>A</v>
      </c>
      <c r="D132" t="s">
        <v>20</v>
      </c>
      <c r="E132" t="s">
        <v>10</v>
      </c>
      <c r="F132" t="str">
        <f t="shared" si="5"/>
        <v>Mobile</v>
      </c>
      <c r="G132">
        <v>6</v>
      </c>
      <c r="H132">
        <v>1</v>
      </c>
      <c r="I132">
        <v>537.19000000000005</v>
      </c>
    </row>
    <row r="133" spans="1:9">
      <c r="A133" t="s">
        <v>151</v>
      </c>
      <c r="B133" t="s">
        <v>15</v>
      </c>
      <c r="C133" t="str">
        <f t="shared" si="4"/>
        <v>B</v>
      </c>
      <c r="D133" t="s">
        <v>9</v>
      </c>
      <c r="E133" t="s">
        <v>23</v>
      </c>
      <c r="F133" t="str">
        <f t="shared" si="5"/>
        <v>Desktop</v>
      </c>
      <c r="G133">
        <v>6</v>
      </c>
      <c r="H133">
        <v>1</v>
      </c>
      <c r="I133">
        <v>4544.32</v>
      </c>
    </row>
    <row r="134" spans="1:9">
      <c r="A134" t="s">
        <v>152</v>
      </c>
      <c r="B134" t="s">
        <v>8</v>
      </c>
      <c r="C134" t="str">
        <f t="shared" si="4"/>
        <v>A</v>
      </c>
      <c r="D134" t="s">
        <v>13</v>
      </c>
      <c r="E134" t="s">
        <v>23</v>
      </c>
      <c r="F134" t="str">
        <f t="shared" si="5"/>
        <v>Desktop</v>
      </c>
      <c r="G134">
        <v>10</v>
      </c>
      <c r="H134">
        <v>0</v>
      </c>
      <c r="I134">
        <v>0</v>
      </c>
    </row>
    <row r="135" spans="1:9">
      <c r="A135" t="s">
        <v>153</v>
      </c>
      <c r="B135" t="s">
        <v>8</v>
      </c>
      <c r="C135" t="str">
        <f t="shared" si="4"/>
        <v>A</v>
      </c>
      <c r="D135" t="s">
        <v>20</v>
      </c>
      <c r="E135" t="s">
        <v>10</v>
      </c>
      <c r="F135" t="str">
        <f t="shared" si="5"/>
        <v>Mobile</v>
      </c>
      <c r="G135">
        <v>6</v>
      </c>
      <c r="H135">
        <v>0</v>
      </c>
      <c r="I135">
        <v>0</v>
      </c>
    </row>
    <row r="136" spans="1:9">
      <c r="A136" t="s">
        <v>154</v>
      </c>
      <c r="B136" t="s">
        <v>8</v>
      </c>
      <c r="C136" t="str">
        <f t="shared" si="4"/>
        <v>A</v>
      </c>
      <c r="D136" t="s">
        <v>20</v>
      </c>
      <c r="E136" t="s">
        <v>16</v>
      </c>
      <c r="F136" t="str">
        <f t="shared" si="5"/>
        <v>Mobile</v>
      </c>
      <c r="G136">
        <v>6</v>
      </c>
      <c r="H136">
        <v>1</v>
      </c>
      <c r="I136">
        <v>1791.16</v>
      </c>
    </row>
    <row r="137" spans="1:9">
      <c r="A137" t="s">
        <v>155</v>
      </c>
      <c r="B137" t="s">
        <v>15</v>
      </c>
      <c r="C137" t="str">
        <f t="shared" si="4"/>
        <v>B</v>
      </c>
      <c r="D137" t="s">
        <v>18</v>
      </c>
      <c r="E137" t="s">
        <v>23</v>
      </c>
      <c r="F137" t="str">
        <f t="shared" si="5"/>
        <v>Desktop</v>
      </c>
      <c r="G137">
        <v>3</v>
      </c>
      <c r="H137">
        <v>0</v>
      </c>
      <c r="I137">
        <v>0</v>
      </c>
    </row>
    <row r="138" spans="1:9">
      <c r="A138" t="s">
        <v>156</v>
      </c>
      <c r="B138" t="s">
        <v>15</v>
      </c>
      <c r="C138" t="str">
        <f t="shared" si="4"/>
        <v>B</v>
      </c>
      <c r="D138" t="s">
        <v>13</v>
      </c>
      <c r="E138" t="s">
        <v>16</v>
      </c>
      <c r="F138" t="str">
        <f t="shared" si="5"/>
        <v>Mobile</v>
      </c>
      <c r="G138">
        <v>7</v>
      </c>
      <c r="H138">
        <v>1</v>
      </c>
      <c r="I138">
        <v>2252.16</v>
      </c>
    </row>
    <row r="139" spans="1:9">
      <c r="A139" t="s">
        <v>157</v>
      </c>
      <c r="B139" t="s">
        <v>8</v>
      </c>
      <c r="C139" t="str">
        <f t="shared" si="4"/>
        <v>A</v>
      </c>
      <c r="D139" t="s">
        <v>13</v>
      </c>
      <c r="E139" t="s">
        <v>23</v>
      </c>
      <c r="F139" t="str">
        <f t="shared" si="5"/>
        <v>Desktop</v>
      </c>
      <c r="G139">
        <v>5</v>
      </c>
      <c r="H139">
        <v>0</v>
      </c>
      <c r="I139">
        <v>0</v>
      </c>
    </row>
    <row r="140" spans="1:9">
      <c r="A140" t="s">
        <v>158</v>
      </c>
      <c r="B140" t="s">
        <v>8</v>
      </c>
      <c r="C140" t="str">
        <f t="shared" si="4"/>
        <v>A</v>
      </c>
      <c r="D140" t="s">
        <v>13</v>
      </c>
      <c r="E140" t="s">
        <v>10</v>
      </c>
      <c r="F140" t="str">
        <f t="shared" si="5"/>
        <v>Mobile</v>
      </c>
      <c r="G140">
        <v>7</v>
      </c>
      <c r="H140">
        <v>0</v>
      </c>
      <c r="I140">
        <v>0</v>
      </c>
    </row>
    <row r="141" spans="1:9">
      <c r="A141" t="s">
        <v>159</v>
      </c>
      <c r="B141" t="s">
        <v>15</v>
      </c>
      <c r="C141" t="str">
        <f t="shared" si="4"/>
        <v>B</v>
      </c>
      <c r="D141" t="s">
        <v>20</v>
      </c>
      <c r="E141" t="s">
        <v>10</v>
      </c>
      <c r="F141" t="str">
        <f t="shared" si="5"/>
        <v>Mobile</v>
      </c>
      <c r="G141">
        <v>3</v>
      </c>
      <c r="H141">
        <v>0</v>
      </c>
      <c r="I141">
        <v>0</v>
      </c>
    </row>
    <row r="142" spans="1:9">
      <c r="A142" t="s">
        <v>160</v>
      </c>
      <c r="B142" t="s">
        <v>8</v>
      </c>
      <c r="C142" t="str">
        <f t="shared" si="4"/>
        <v>A</v>
      </c>
      <c r="D142" t="s">
        <v>20</v>
      </c>
      <c r="E142" t="s">
        <v>10</v>
      </c>
      <c r="F142" t="str">
        <f t="shared" si="5"/>
        <v>Mobile</v>
      </c>
      <c r="G142">
        <v>8</v>
      </c>
      <c r="H142">
        <v>0</v>
      </c>
      <c r="I142">
        <v>0</v>
      </c>
    </row>
    <row r="143" spans="1:9">
      <c r="A143" t="s">
        <v>161</v>
      </c>
      <c r="B143" t="s">
        <v>8</v>
      </c>
      <c r="C143" t="str">
        <f t="shared" si="4"/>
        <v>A</v>
      </c>
      <c r="D143" t="s">
        <v>20</v>
      </c>
      <c r="E143" t="s">
        <v>33</v>
      </c>
      <c r="F143" t="str">
        <f t="shared" si="5"/>
        <v>Desktop</v>
      </c>
      <c r="G143">
        <v>8</v>
      </c>
      <c r="H143">
        <v>0</v>
      </c>
      <c r="I143">
        <v>0</v>
      </c>
    </row>
    <row r="144" spans="1:9">
      <c r="A144" t="s">
        <v>162</v>
      </c>
      <c r="B144" t="s">
        <v>15</v>
      </c>
      <c r="C144" t="str">
        <f t="shared" si="4"/>
        <v>B</v>
      </c>
      <c r="D144" t="s">
        <v>20</v>
      </c>
      <c r="E144" t="s">
        <v>23</v>
      </c>
      <c r="F144" t="str">
        <f t="shared" si="5"/>
        <v>Desktop</v>
      </c>
      <c r="G144">
        <v>6</v>
      </c>
      <c r="H144">
        <v>0</v>
      </c>
      <c r="I144">
        <v>0</v>
      </c>
    </row>
    <row r="145" spans="1:9">
      <c r="A145" t="s">
        <v>163</v>
      </c>
      <c r="B145" t="s">
        <v>29</v>
      </c>
      <c r="C145" t="str">
        <f t="shared" si="4"/>
        <v>B</v>
      </c>
      <c r="D145" t="s">
        <v>13</v>
      </c>
      <c r="E145" t="s">
        <v>23</v>
      </c>
      <c r="F145" t="str">
        <f t="shared" si="5"/>
        <v>Desktop</v>
      </c>
      <c r="G145">
        <v>8</v>
      </c>
      <c r="H145">
        <v>0</v>
      </c>
      <c r="I145">
        <v>0</v>
      </c>
    </row>
    <row r="146" spans="1:9">
      <c r="A146" t="s">
        <v>164</v>
      </c>
      <c r="B146" t="s">
        <v>8</v>
      </c>
      <c r="C146" t="str">
        <f t="shared" si="4"/>
        <v>A</v>
      </c>
      <c r="D146" t="s">
        <v>20</v>
      </c>
      <c r="E146" t="s">
        <v>10</v>
      </c>
      <c r="F146" t="str">
        <f t="shared" si="5"/>
        <v>Mobile</v>
      </c>
      <c r="G146">
        <v>8</v>
      </c>
      <c r="H146">
        <v>0</v>
      </c>
      <c r="I146">
        <v>0</v>
      </c>
    </row>
    <row r="147" spans="1:9">
      <c r="A147" t="s">
        <v>165</v>
      </c>
      <c r="B147" t="s">
        <v>15</v>
      </c>
      <c r="C147" t="str">
        <f t="shared" si="4"/>
        <v>B</v>
      </c>
      <c r="D147" t="s">
        <v>9</v>
      </c>
      <c r="E147" t="s">
        <v>10</v>
      </c>
      <c r="F147" t="str">
        <f t="shared" si="5"/>
        <v>Mobile</v>
      </c>
      <c r="G147">
        <v>6</v>
      </c>
      <c r="H147">
        <v>0</v>
      </c>
      <c r="I147">
        <v>0</v>
      </c>
    </row>
    <row r="148" spans="1:9">
      <c r="A148" t="s">
        <v>166</v>
      </c>
      <c r="B148" t="s">
        <v>15</v>
      </c>
      <c r="C148" t="str">
        <f t="shared" si="4"/>
        <v>B</v>
      </c>
      <c r="D148" t="s">
        <v>9</v>
      </c>
      <c r="E148" t="s">
        <v>23</v>
      </c>
      <c r="F148" t="str">
        <f t="shared" si="5"/>
        <v>Desktop</v>
      </c>
      <c r="G148">
        <v>12</v>
      </c>
      <c r="H148">
        <v>1</v>
      </c>
      <c r="I148">
        <v>4522.2</v>
      </c>
    </row>
    <row r="149" spans="1:9">
      <c r="A149" t="s">
        <v>167</v>
      </c>
      <c r="B149" t="s">
        <v>8</v>
      </c>
      <c r="C149" t="str">
        <f t="shared" si="4"/>
        <v>A</v>
      </c>
      <c r="D149" t="s">
        <v>20</v>
      </c>
      <c r="E149" t="s">
        <v>10</v>
      </c>
      <c r="F149" t="str">
        <f t="shared" si="5"/>
        <v>Mobile</v>
      </c>
      <c r="G149">
        <v>5</v>
      </c>
      <c r="H149">
        <v>0</v>
      </c>
      <c r="I149">
        <v>0</v>
      </c>
    </row>
    <row r="150" spans="1:9">
      <c r="A150" t="s">
        <v>168</v>
      </c>
      <c r="B150" t="s">
        <v>15</v>
      </c>
      <c r="C150" t="str">
        <f t="shared" si="4"/>
        <v>B</v>
      </c>
      <c r="D150" t="s">
        <v>13</v>
      </c>
      <c r="E150" t="s">
        <v>10</v>
      </c>
      <c r="F150" t="str">
        <f t="shared" si="5"/>
        <v>Mobile</v>
      </c>
      <c r="G150">
        <v>4</v>
      </c>
      <c r="H150">
        <v>0</v>
      </c>
      <c r="I150">
        <v>0</v>
      </c>
    </row>
    <row r="151" spans="1:9">
      <c r="A151" t="s">
        <v>169</v>
      </c>
      <c r="B151" t="s">
        <v>8</v>
      </c>
      <c r="C151" t="str">
        <f t="shared" si="4"/>
        <v>A</v>
      </c>
      <c r="D151" t="s">
        <v>13</v>
      </c>
      <c r="E151" t="s">
        <v>23</v>
      </c>
      <c r="F151" t="str">
        <f t="shared" si="5"/>
        <v>Desktop</v>
      </c>
      <c r="G151">
        <v>10</v>
      </c>
      <c r="H151">
        <v>0</v>
      </c>
      <c r="I151">
        <v>0</v>
      </c>
    </row>
    <row r="152" spans="1:9">
      <c r="A152" t="s">
        <v>170</v>
      </c>
      <c r="B152" t="s">
        <v>15</v>
      </c>
      <c r="C152" t="str">
        <f t="shared" si="4"/>
        <v>B</v>
      </c>
      <c r="D152" t="s">
        <v>9</v>
      </c>
      <c r="E152" t="s">
        <v>10</v>
      </c>
      <c r="F152" t="str">
        <f t="shared" si="5"/>
        <v>Mobile</v>
      </c>
      <c r="G152">
        <v>10</v>
      </c>
      <c r="H152">
        <v>0</v>
      </c>
      <c r="I152">
        <v>0</v>
      </c>
    </row>
    <row r="153" spans="1:9">
      <c r="A153" t="s">
        <v>171</v>
      </c>
      <c r="B153" t="s">
        <v>15</v>
      </c>
      <c r="C153" t="str">
        <f t="shared" si="4"/>
        <v>B</v>
      </c>
      <c r="D153" t="s">
        <v>20</v>
      </c>
      <c r="E153" t="s">
        <v>10</v>
      </c>
      <c r="F153" t="str">
        <f t="shared" si="5"/>
        <v>Mobile</v>
      </c>
      <c r="G153">
        <v>7</v>
      </c>
      <c r="H153">
        <v>0</v>
      </c>
      <c r="I153">
        <v>0</v>
      </c>
    </row>
    <row r="154" spans="1:9">
      <c r="A154" t="s">
        <v>172</v>
      </c>
      <c r="B154" t="s">
        <v>15</v>
      </c>
      <c r="C154" t="str">
        <f t="shared" si="4"/>
        <v>B</v>
      </c>
      <c r="D154" t="s">
        <v>13</v>
      </c>
      <c r="E154" t="s">
        <v>10</v>
      </c>
      <c r="F154" t="str">
        <f t="shared" si="5"/>
        <v>Mobile</v>
      </c>
      <c r="G154">
        <v>6</v>
      </c>
      <c r="H154">
        <v>0</v>
      </c>
      <c r="I154">
        <v>0</v>
      </c>
    </row>
    <row r="155" spans="1:9">
      <c r="A155" t="s">
        <v>173</v>
      </c>
      <c r="B155" t="s">
        <v>8</v>
      </c>
      <c r="C155" t="str">
        <f t="shared" si="4"/>
        <v>A</v>
      </c>
      <c r="D155" t="s">
        <v>13</v>
      </c>
      <c r="E155" t="s">
        <v>10</v>
      </c>
      <c r="F155" t="str">
        <f t="shared" si="5"/>
        <v>Mobile</v>
      </c>
      <c r="G155">
        <v>1</v>
      </c>
      <c r="H155">
        <v>0</v>
      </c>
      <c r="I155">
        <v>0</v>
      </c>
    </row>
    <row r="156" spans="1:9">
      <c r="A156" t="s">
        <v>174</v>
      </c>
      <c r="B156" t="s">
        <v>15</v>
      </c>
      <c r="C156" t="str">
        <f t="shared" si="4"/>
        <v>B</v>
      </c>
      <c r="D156" t="s">
        <v>20</v>
      </c>
      <c r="E156" t="s">
        <v>83</v>
      </c>
      <c r="F156" t="str">
        <f t="shared" si="5"/>
        <v>Tablet</v>
      </c>
      <c r="G156">
        <v>4</v>
      </c>
      <c r="H156">
        <v>0</v>
      </c>
      <c r="I156">
        <v>0</v>
      </c>
    </row>
    <row r="157" spans="1:9">
      <c r="A157" t="s">
        <v>175</v>
      </c>
      <c r="B157" t="s">
        <v>8</v>
      </c>
      <c r="C157" t="str">
        <f t="shared" si="4"/>
        <v>A</v>
      </c>
      <c r="D157" t="s">
        <v>20</v>
      </c>
      <c r="E157" t="s">
        <v>10</v>
      </c>
      <c r="F157" t="str">
        <f t="shared" si="5"/>
        <v>Mobile</v>
      </c>
      <c r="G157">
        <v>7</v>
      </c>
      <c r="H157">
        <v>0</v>
      </c>
      <c r="I157">
        <v>0</v>
      </c>
    </row>
    <row r="158" spans="1:9">
      <c r="A158" t="s">
        <v>176</v>
      </c>
      <c r="B158" t="s">
        <v>8</v>
      </c>
      <c r="C158" t="str">
        <f t="shared" si="4"/>
        <v>A</v>
      </c>
      <c r="D158" t="s">
        <v>13</v>
      </c>
      <c r="E158" t="s">
        <v>10</v>
      </c>
      <c r="F158" t="str">
        <f t="shared" si="5"/>
        <v>Mobile</v>
      </c>
      <c r="G158">
        <v>9</v>
      </c>
      <c r="H158">
        <v>0</v>
      </c>
      <c r="I158">
        <v>0</v>
      </c>
    </row>
    <row r="159" spans="1:9">
      <c r="A159" t="s">
        <v>177</v>
      </c>
      <c r="B159" t="s">
        <v>8</v>
      </c>
      <c r="C159" t="str">
        <f t="shared" si="4"/>
        <v>A</v>
      </c>
      <c r="D159" t="s">
        <v>13</v>
      </c>
      <c r="E159" t="s">
        <v>10</v>
      </c>
      <c r="F159" t="str">
        <f t="shared" si="5"/>
        <v>Mobile</v>
      </c>
      <c r="G159">
        <v>5</v>
      </c>
      <c r="H159">
        <v>1</v>
      </c>
      <c r="I159">
        <v>2434.25</v>
      </c>
    </row>
    <row r="160" spans="1:9">
      <c r="A160" t="s">
        <v>178</v>
      </c>
      <c r="B160" t="s">
        <v>15</v>
      </c>
      <c r="C160" t="str">
        <f t="shared" si="4"/>
        <v>B</v>
      </c>
      <c r="D160" t="s">
        <v>20</v>
      </c>
      <c r="E160" t="s">
        <v>23</v>
      </c>
      <c r="F160" t="str">
        <f t="shared" si="5"/>
        <v>Desktop</v>
      </c>
      <c r="G160">
        <v>4</v>
      </c>
      <c r="H160">
        <v>0</v>
      </c>
      <c r="I160">
        <v>0</v>
      </c>
    </row>
    <row r="161" spans="1:9">
      <c r="A161" t="s">
        <v>179</v>
      </c>
      <c r="B161" t="s">
        <v>15</v>
      </c>
      <c r="C161" t="str">
        <f t="shared" si="4"/>
        <v>B</v>
      </c>
      <c r="D161" t="s">
        <v>13</v>
      </c>
      <c r="E161" t="s">
        <v>10</v>
      </c>
      <c r="F161" t="str">
        <f t="shared" si="5"/>
        <v>Mobile</v>
      </c>
      <c r="G161">
        <v>6</v>
      </c>
      <c r="H161">
        <v>0</v>
      </c>
      <c r="I161">
        <v>0</v>
      </c>
    </row>
    <row r="162" spans="1:9">
      <c r="A162" t="s">
        <v>180</v>
      </c>
      <c r="B162" t="s">
        <v>8</v>
      </c>
      <c r="C162" t="str">
        <f t="shared" si="4"/>
        <v>A</v>
      </c>
      <c r="D162" t="s">
        <v>20</v>
      </c>
      <c r="E162" t="s">
        <v>23</v>
      </c>
      <c r="F162" t="str">
        <f t="shared" si="5"/>
        <v>Desktop</v>
      </c>
      <c r="G162">
        <v>4</v>
      </c>
      <c r="H162">
        <v>0</v>
      </c>
      <c r="I162">
        <v>0</v>
      </c>
    </row>
    <row r="163" spans="1:9">
      <c r="A163" t="s">
        <v>181</v>
      </c>
      <c r="B163" t="s">
        <v>15</v>
      </c>
      <c r="C163" t="str">
        <f t="shared" si="4"/>
        <v>B</v>
      </c>
      <c r="D163" t="s">
        <v>13</v>
      </c>
      <c r="E163" t="s">
        <v>10</v>
      </c>
      <c r="F163" t="str">
        <f t="shared" si="5"/>
        <v>Mobile</v>
      </c>
      <c r="G163">
        <v>6</v>
      </c>
      <c r="H163">
        <v>0</v>
      </c>
      <c r="I163">
        <v>0</v>
      </c>
    </row>
    <row r="164" spans="1:9">
      <c r="A164" t="s">
        <v>182</v>
      </c>
      <c r="B164" t="s">
        <v>8</v>
      </c>
      <c r="C164" t="str">
        <f t="shared" si="4"/>
        <v>A</v>
      </c>
      <c r="D164" t="s">
        <v>20</v>
      </c>
      <c r="E164" t="s">
        <v>10</v>
      </c>
      <c r="F164" t="str">
        <f t="shared" si="5"/>
        <v>Mobile</v>
      </c>
      <c r="G164">
        <v>3</v>
      </c>
      <c r="H164">
        <v>0</v>
      </c>
      <c r="I164">
        <v>0</v>
      </c>
    </row>
    <row r="165" spans="1:9">
      <c r="A165" t="s">
        <v>183</v>
      </c>
      <c r="B165" t="s">
        <v>15</v>
      </c>
      <c r="C165" t="str">
        <f t="shared" si="4"/>
        <v>B</v>
      </c>
      <c r="D165" t="s">
        <v>9</v>
      </c>
      <c r="E165" t="s">
        <v>10</v>
      </c>
      <c r="F165" t="str">
        <f t="shared" si="5"/>
        <v>Mobile</v>
      </c>
      <c r="G165">
        <v>3</v>
      </c>
      <c r="H165">
        <v>0</v>
      </c>
      <c r="I165">
        <v>0</v>
      </c>
    </row>
    <row r="166" spans="1:9">
      <c r="A166" t="s">
        <v>184</v>
      </c>
      <c r="B166" t="s">
        <v>8</v>
      </c>
      <c r="C166" t="str">
        <f t="shared" si="4"/>
        <v>A</v>
      </c>
      <c r="D166" t="s">
        <v>20</v>
      </c>
      <c r="E166" t="s">
        <v>23</v>
      </c>
      <c r="F166" t="str">
        <f t="shared" si="5"/>
        <v>Desktop</v>
      </c>
      <c r="G166">
        <v>6</v>
      </c>
      <c r="H166">
        <v>0</v>
      </c>
      <c r="I166">
        <v>0</v>
      </c>
    </row>
    <row r="167" spans="1:9">
      <c r="A167" t="s">
        <v>185</v>
      </c>
      <c r="B167" t="s">
        <v>15</v>
      </c>
      <c r="C167" t="str">
        <f t="shared" si="4"/>
        <v>B</v>
      </c>
      <c r="D167" t="s">
        <v>20</v>
      </c>
      <c r="E167" t="s">
        <v>16</v>
      </c>
      <c r="F167" t="str">
        <f t="shared" si="5"/>
        <v>Mobile</v>
      </c>
      <c r="G167">
        <v>5</v>
      </c>
      <c r="H167">
        <v>0</v>
      </c>
      <c r="I167">
        <v>0</v>
      </c>
    </row>
    <row r="168" spans="1:9">
      <c r="A168" t="s">
        <v>186</v>
      </c>
      <c r="B168" t="s">
        <v>8</v>
      </c>
      <c r="C168" t="str">
        <f t="shared" si="4"/>
        <v>A</v>
      </c>
      <c r="D168" t="s">
        <v>20</v>
      </c>
      <c r="E168" t="s">
        <v>10</v>
      </c>
      <c r="F168" t="str">
        <f t="shared" si="5"/>
        <v>Mobile</v>
      </c>
      <c r="G168">
        <v>10</v>
      </c>
      <c r="H168">
        <v>1</v>
      </c>
      <c r="I168">
        <v>1504.49</v>
      </c>
    </row>
    <row r="169" spans="1:9">
      <c r="A169" t="s">
        <v>187</v>
      </c>
      <c r="B169" t="s">
        <v>12</v>
      </c>
      <c r="C169" t="str">
        <f t="shared" si="4"/>
        <v>A</v>
      </c>
      <c r="D169" t="s">
        <v>20</v>
      </c>
      <c r="E169" t="s">
        <v>23</v>
      </c>
      <c r="F169" t="str">
        <f t="shared" si="5"/>
        <v>Desktop</v>
      </c>
      <c r="G169">
        <v>6</v>
      </c>
      <c r="H169">
        <v>0</v>
      </c>
      <c r="I169">
        <v>0</v>
      </c>
    </row>
    <row r="170" spans="1:9">
      <c r="A170" t="s">
        <v>188</v>
      </c>
      <c r="B170" t="s">
        <v>8</v>
      </c>
      <c r="C170" t="str">
        <f t="shared" si="4"/>
        <v>A</v>
      </c>
      <c r="D170" t="s">
        <v>13</v>
      </c>
      <c r="E170" t="s">
        <v>33</v>
      </c>
      <c r="F170" t="str">
        <f t="shared" si="5"/>
        <v>Desktop</v>
      </c>
      <c r="G170">
        <v>10</v>
      </c>
      <c r="H170">
        <v>0</v>
      </c>
      <c r="I170">
        <v>0</v>
      </c>
    </row>
    <row r="171" spans="1:9">
      <c r="A171" t="s">
        <v>189</v>
      </c>
      <c r="B171" t="s">
        <v>8</v>
      </c>
      <c r="C171" t="str">
        <f t="shared" si="4"/>
        <v>A</v>
      </c>
      <c r="D171" t="s">
        <v>20</v>
      </c>
      <c r="E171" t="s">
        <v>10</v>
      </c>
      <c r="F171" t="str">
        <f t="shared" si="5"/>
        <v>Mobile</v>
      </c>
      <c r="G171">
        <v>6</v>
      </c>
      <c r="H171">
        <v>0</v>
      </c>
      <c r="I171">
        <v>0</v>
      </c>
    </row>
    <row r="172" spans="1:9">
      <c r="A172" t="s">
        <v>190</v>
      </c>
      <c r="B172" t="s">
        <v>8</v>
      </c>
      <c r="C172" t="str">
        <f t="shared" si="4"/>
        <v>A</v>
      </c>
      <c r="D172" t="s">
        <v>9</v>
      </c>
      <c r="E172" t="s">
        <v>16</v>
      </c>
      <c r="F172" t="str">
        <f t="shared" si="5"/>
        <v>Mobile</v>
      </c>
      <c r="G172">
        <v>6</v>
      </c>
      <c r="H172">
        <v>1</v>
      </c>
      <c r="I172">
        <v>5454.99</v>
      </c>
    </row>
    <row r="173" spans="1:9">
      <c r="A173" t="s">
        <v>191</v>
      </c>
      <c r="B173" t="s">
        <v>12</v>
      </c>
      <c r="C173" t="str">
        <f t="shared" si="4"/>
        <v>A</v>
      </c>
      <c r="D173" t="s">
        <v>20</v>
      </c>
      <c r="E173" t="s">
        <v>10</v>
      </c>
      <c r="F173" t="str">
        <f t="shared" si="5"/>
        <v>Mobile</v>
      </c>
      <c r="G173">
        <v>4</v>
      </c>
      <c r="H173">
        <v>0</v>
      </c>
      <c r="I173">
        <v>0</v>
      </c>
    </row>
    <row r="174" spans="1:9">
      <c r="A174" t="s">
        <v>192</v>
      </c>
      <c r="B174" t="s">
        <v>15</v>
      </c>
      <c r="C174" t="str">
        <f t="shared" si="4"/>
        <v>B</v>
      </c>
      <c r="D174" t="s">
        <v>20</v>
      </c>
      <c r="E174" t="s">
        <v>33</v>
      </c>
      <c r="F174" t="str">
        <f t="shared" si="5"/>
        <v>Desktop</v>
      </c>
      <c r="G174">
        <v>4</v>
      </c>
      <c r="H174">
        <v>0</v>
      </c>
      <c r="I174">
        <v>0</v>
      </c>
    </row>
    <row r="175" spans="1:9">
      <c r="A175" t="s">
        <v>193</v>
      </c>
      <c r="B175" t="s">
        <v>8</v>
      </c>
      <c r="C175" t="str">
        <f t="shared" si="4"/>
        <v>A</v>
      </c>
      <c r="D175" t="s">
        <v>20</v>
      </c>
      <c r="E175" t="s">
        <v>23</v>
      </c>
      <c r="F175" t="str">
        <f t="shared" si="5"/>
        <v>Desktop</v>
      </c>
      <c r="G175">
        <v>2</v>
      </c>
      <c r="H175">
        <v>0</v>
      </c>
      <c r="I175">
        <v>0</v>
      </c>
    </row>
    <row r="176" spans="1:9">
      <c r="A176" t="s">
        <v>194</v>
      </c>
      <c r="B176" t="s">
        <v>15</v>
      </c>
      <c r="C176" t="str">
        <f t="shared" si="4"/>
        <v>B</v>
      </c>
      <c r="D176" t="s">
        <v>20</v>
      </c>
      <c r="E176" t="s">
        <v>33</v>
      </c>
      <c r="F176" t="str">
        <f t="shared" si="5"/>
        <v>Desktop</v>
      </c>
      <c r="G176">
        <v>6</v>
      </c>
      <c r="H176">
        <v>0</v>
      </c>
      <c r="I176">
        <v>0</v>
      </c>
    </row>
    <row r="177" spans="1:9">
      <c r="A177" t="s">
        <v>195</v>
      </c>
      <c r="B177" t="s">
        <v>15</v>
      </c>
      <c r="C177" t="str">
        <f t="shared" si="4"/>
        <v>B</v>
      </c>
      <c r="D177" t="s">
        <v>20</v>
      </c>
      <c r="E177" t="s">
        <v>23</v>
      </c>
      <c r="F177" t="str">
        <f t="shared" si="5"/>
        <v>Desktop</v>
      </c>
      <c r="G177">
        <v>3</v>
      </c>
      <c r="H177">
        <v>0</v>
      </c>
      <c r="I177">
        <v>0</v>
      </c>
    </row>
    <row r="178" spans="1:9">
      <c r="A178" t="s">
        <v>196</v>
      </c>
      <c r="B178" t="s">
        <v>15</v>
      </c>
      <c r="C178" t="str">
        <f t="shared" si="4"/>
        <v>B</v>
      </c>
      <c r="D178" t="s">
        <v>20</v>
      </c>
      <c r="E178" t="s">
        <v>10</v>
      </c>
      <c r="F178" t="str">
        <f t="shared" si="5"/>
        <v>Mobile</v>
      </c>
      <c r="G178">
        <v>7</v>
      </c>
      <c r="H178">
        <v>0</v>
      </c>
      <c r="I178">
        <v>0</v>
      </c>
    </row>
    <row r="179" spans="1:9">
      <c r="A179" t="s">
        <v>197</v>
      </c>
      <c r="B179" t="s">
        <v>15</v>
      </c>
      <c r="C179" t="str">
        <f t="shared" si="4"/>
        <v>B</v>
      </c>
      <c r="D179" t="s">
        <v>13</v>
      </c>
      <c r="E179" t="s">
        <v>33</v>
      </c>
      <c r="F179" t="str">
        <f t="shared" si="5"/>
        <v>Desktop</v>
      </c>
      <c r="G179">
        <v>5</v>
      </c>
      <c r="H179">
        <v>0</v>
      </c>
      <c r="I179">
        <v>0</v>
      </c>
    </row>
    <row r="180" spans="1:9">
      <c r="A180" t="s">
        <v>198</v>
      </c>
      <c r="B180" t="s">
        <v>8</v>
      </c>
      <c r="C180" t="str">
        <f t="shared" si="4"/>
        <v>A</v>
      </c>
      <c r="D180" t="s">
        <v>20</v>
      </c>
      <c r="E180" t="s">
        <v>10</v>
      </c>
      <c r="F180" t="str">
        <f t="shared" si="5"/>
        <v>Mobile</v>
      </c>
      <c r="G180">
        <v>5</v>
      </c>
      <c r="H180">
        <v>0</v>
      </c>
      <c r="I180">
        <v>0</v>
      </c>
    </row>
    <row r="181" spans="1:9">
      <c r="A181" t="s">
        <v>199</v>
      </c>
      <c r="B181" t="s">
        <v>8</v>
      </c>
      <c r="C181" t="str">
        <f t="shared" si="4"/>
        <v>A</v>
      </c>
      <c r="D181" t="s">
        <v>13</v>
      </c>
      <c r="E181" t="s">
        <v>10</v>
      </c>
      <c r="F181" t="str">
        <f t="shared" si="5"/>
        <v>Mobile</v>
      </c>
      <c r="G181">
        <v>7</v>
      </c>
      <c r="H181">
        <v>0</v>
      </c>
      <c r="I181">
        <v>0</v>
      </c>
    </row>
    <row r="182" spans="1:9">
      <c r="A182" t="s">
        <v>200</v>
      </c>
      <c r="B182" t="s">
        <v>15</v>
      </c>
      <c r="C182" t="str">
        <f t="shared" si="4"/>
        <v>B</v>
      </c>
      <c r="D182" t="s">
        <v>13</v>
      </c>
      <c r="E182" t="s">
        <v>23</v>
      </c>
      <c r="F182" t="str">
        <f t="shared" si="5"/>
        <v>Desktop</v>
      </c>
      <c r="G182">
        <v>5</v>
      </c>
      <c r="H182">
        <v>0</v>
      </c>
      <c r="I182">
        <v>0</v>
      </c>
    </row>
    <row r="183" spans="1:9">
      <c r="A183" t="s">
        <v>201</v>
      </c>
      <c r="B183" t="s">
        <v>15</v>
      </c>
      <c r="C183" t="str">
        <f t="shared" si="4"/>
        <v>B</v>
      </c>
      <c r="D183" t="s">
        <v>20</v>
      </c>
      <c r="E183" t="s">
        <v>23</v>
      </c>
      <c r="F183" t="str">
        <f t="shared" si="5"/>
        <v>Desktop</v>
      </c>
      <c r="G183">
        <v>4</v>
      </c>
      <c r="H183">
        <v>0</v>
      </c>
      <c r="I183">
        <v>0</v>
      </c>
    </row>
    <row r="184" spans="1:9">
      <c r="A184" t="s">
        <v>202</v>
      </c>
      <c r="B184" t="s">
        <v>15</v>
      </c>
      <c r="C184" t="str">
        <f t="shared" si="4"/>
        <v>B</v>
      </c>
      <c r="D184" t="s">
        <v>13</v>
      </c>
      <c r="E184" t="s">
        <v>33</v>
      </c>
      <c r="F184" t="str">
        <f t="shared" si="5"/>
        <v>Desktop</v>
      </c>
      <c r="G184">
        <v>8</v>
      </c>
      <c r="H184">
        <v>1</v>
      </c>
      <c r="I184">
        <v>1797.33</v>
      </c>
    </row>
    <row r="185" spans="1:9">
      <c r="A185" t="s">
        <v>203</v>
      </c>
      <c r="B185" t="s">
        <v>8</v>
      </c>
      <c r="C185" t="str">
        <f t="shared" si="4"/>
        <v>A</v>
      </c>
      <c r="D185" t="s">
        <v>18</v>
      </c>
      <c r="E185" t="s">
        <v>10</v>
      </c>
      <c r="F185" t="str">
        <f t="shared" si="5"/>
        <v>Mobile</v>
      </c>
      <c r="G185">
        <v>5</v>
      </c>
      <c r="H185">
        <v>0</v>
      </c>
      <c r="I185">
        <v>0</v>
      </c>
    </row>
    <row r="186" spans="1:9">
      <c r="A186" t="s">
        <v>204</v>
      </c>
      <c r="B186" t="s">
        <v>8</v>
      </c>
      <c r="C186" t="str">
        <f t="shared" si="4"/>
        <v>A</v>
      </c>
      <c r="D186" t="s">
        <v>13</v>
      </c>
      <c r="E186" t="s">
        <v>23</v>
      </c>
      <c r="F186" t="str">
        <f t="shared" si="5"/>
        <v>Desktop</v>
      </c>
      <c r="G186">
        <v>5</v>
      </c>
      <c r="H186">
        <v>0</v>
      </c>
      <c r="I186">
        <v>0</v>
      </c>
    </row>
    <row r="187" spans="1:9">
      <c r="A187" t="s">
        <v>205</v>
      </c>
      <c r="B187" t="s">
        <v>15</v>
      </c>
      <c r="C187" t="str">
        <f t="shared" si="4"/>
        <v>B</v>
      </c>
      <c r="D187" t="s">
        <v>13</v>
      </c>
      <c r="E187" t="s">
        <v>23</v>
      </c>
      <c r="F187" t="str">
        <f t="shared" si="5"/>
        <v>Desktop</v>
      </c>
      <c r="G187">
        <v>4</v>
      </c>
      <c r="H187">
        <v>1</v>
      </c>
      <c r="I187">
        <v>1717.41</v>
      </c>
    </row>
    <row r="188" spans="1:9">
      <c r="A188" t="s">
        <v>206</v>
      </c>
      <c r="B188" t="s">
        <v>15</v>
      </c>
      <c r="C188" t="str">
        <f t="shared" si="4"/>
        <v>B</v>
      </c>
      <c r="D188" t="s">
        <v>20</v>
      </c>
      <c r="E188" t="s">
        <v>10</v>
      </c>
      <c r="F188" t="str">
        <f t="shared" si="5"/>
        <v>Mobile</v>
      </c>
      <c r="G188">
        <v>6</v>
      </c>
      <c r="H188">
        <v>1</v>
      </c>
      <c r="I188">
        <v>2063.98</v>
      </c>
    </row>
    <row r="189" spans="1:9">
      <c r="A189" t="s">
        <v>207</v>
      </c>
      <c r="B189" t="s">
        <v>15</v>
      </c>
      <c r="C189" t="str">
        <f t="shared" si="4"/>
        <v>B</v>
      </c>
      <c r="D189" t="s">
        <v>9</v>
      </c>
      <c r="E189" t="s">
        <v>10</v>
      </c>
      <c r="F189" t="str">
        <f t="shared" si="5"/>
        <v>Mobile</v>
      </c>
      <c r="G189">
        <v>6</v>
      </c>
      <c r="H189">
        <v>0</v>
      </c>
      <c r="I189">
        <v>0</v>
      </c>
    </row>
    <row r="190" spans="1:9">
      <c r="A190" t="s">
        <v>208</v>
      </c>
      <c r="B190" t="s">
        <v>15</v>
      </c>
      <c r="C190" t="str">
        <f t="shared" si="4"/>
        <v>B</v>
      </c>
      <c r="D190" t="s">
        <v>9</v>
      </c>
      <c r="E190" t="s">
        <v>10</v>
      </c>
      <c r="F190" t="str">
        <f t="shared" si="5"/>
        <v>Mobile</v>
      </c>
      <c r="G190">
        <v>4</v>
      </c>
      <c r="H190">
        <v>0</v>
      </c>
      <c r="I190">
        <v>0</v>
      </c>
    </row>
    <row r="191" spans="1:9">
      <c r="A191" t="s">
        <v>209</v>
      </c>
      <c r="B191" t="s">
        <v>15</v>
      </c>
      <c r="C191" t="str">
        <f t="shared" si="4"/>
        <v>B</v>
      </c>
      <c r="D191" t="s">
        <v>18</v>
      </c>
      <c r="E191" t="s">
        <v>10</v>
      </c>
      <c r="F191" t="str">
        <f t="shared" si="5"/>
        <v>Mobile</v>
      </c>
      <c r="G191">
        <v>7</v>
      </c>
      <c r="H191">
        <v>0</v>
      </c>
      <c r="I191">
        <v>0</v>
      </c>
    </row>
    <row r="192" spans="1:9">
      <c r="A192" t="s">
        <v>210</v>
      </c>
      <c r="B192" t="s">
        <v>8</v>
      </c>
      <c r="C192" t="str">
        <f t="shared" si="4"/>
        <v>A</v>
      </c>
      <c r="D192" t="s">
        <v>18</v>
      </c>
      <c r="E192" t="s">
        <v>83</v>
      </c>
      <c r="F192" t="str">
        <f t="shared" si="5"/>
        <v>Tablet</v>
      </c>
      <c r="G192">
        <v>4</v>
      </c>
      <c r="H192">
        <v>0</v>
      </c>
      <c r="I192">
        <v>0</v>
      </c>
    </row>
    <row r="193" spans="1:9">
      <c r="A193" t="s">
        <v>211</v>
      </c>
      <c r="B193" t="s">
        <v>8</v>
      </c>
      <c r="C193" t="str">
        <f t="shared" si="4"/>
        <v>A</v>
      </c>
      <c r="D193" t="s">
        <v>18</v>
      </c>
      <c r="E193" t="s">
        <v>23</v>
      </c>
      <c r="F193" t="str">
        <f t="shared" si="5"/>
        <v>Desktop</v>
      </c>
      <c r="G193">
        <v>6</v>
      </c>
      <c r="H193">
        <v>0</v>
      </c>
      <c r="I193">
        <v>0</v>
      </c>
    </row>
    <row r="194" spans="1:9">
      <c r="A194" t="s">
        <v>212</v>
      </c>
      <c r="B194" t="s">
        <v>15</v>
      </c>
      <c r="C194" t="str">
        <f t="shared" ref="C194:C257" si="6">IF(OR(B194="control", B194="A"), "A", "B")</f>
        <v>B</v>
      </c>
      <c r="D194" t="s">
        <v>18</v>
      </c>
      <c r="E194" t="s">
        <v>23</v>
      </c>
      <c r="F194" t="str">
        <f t="shared" ref="F194:F257" si="7">PROPER(E194)</f>
        <v>Desktop</v>
      </c>
      <c r="G194">
        <v>8</v>
      </c>
      <c r="H194">
        <v>1</v>
      </c>
      <c r="I194">
        <v>1461.5</v>
      </c>
    </row>
    <row r="195" spans="1:9">
      <c r="A195" t="s">
        <v>213</v>
      </c>
      <c r="B195" t="s">
        <v>15</v>
      </c>
      <c r="C195" t="str">
        <f t="shared" si="6"/>
        <v>B</v>
      </c>
      <c r="D195" t="s">
        <v>18</v>
      </c>
      <c r="E195" t="s">
        <v>83</v>
      </c>
      <c r="F195" t="str">
        <f t="shared" si="7"/>
        <v>Tablet</v>
      </c>
      <c r="G195">
        <v>4</v>
      </c>
      <c r="H195">
        <v>0</v>
      </c>
      <c r="I195">
        <v>0</v>
      </c>
    </row>
    <row r="196" spans="1:9">
      <c r="A196" t="s">
        <v>214</v>
      </c>
      <c r="B196" t="s">
        <v>8</v>
      </c>
      <c r="C196" t="str">
        <f t="shared" si="6"/>
        <v>A</v>
      </c>
      <c r="D196" t="s">
        <v>18</v>
      </c>
      <c r="E196" t="s">
        <v>10</v>
      </c>
      <c r="F196" t="str">
        <f t="shared" si="7"/>
        <v>Mobile</v>
      </c>
      <c r="G196">
        <v>3</v>
      </c>
      <c r="H196">
        <v>0</v>
      </c>
      <c r="I196">
        <v>0</v>
      </c>
    </row>
    <row r="197" spans="1:9">
      <c r="A197" t="s">
        <v>215</v>
      </c>
      <c r="B197" t="s">
        <v>8</v>
      </c>
      <c r="C197" t="str">
        <f t="shared" si="6"/>
        <v>A</v>
      </c>
      <c r="D197" t="s">
        <v>18</v>
      </c>
      <c r="E197" t="s">
        <v>23</v>
      </c>
      <c r="F197" t="str">
        <f t="shared" si="7"/>
        <v>Desktop</v>
      </c>
      <c r="G197">
        <v>7</v>
      </c>
      <c r="H197">
        <v>0</v>
      </c>
      <c r="I197">
        <v>0</v>
      </c>
    </row>
    <row r="198" spans="1:9">
      <c r="A198" t="s">
        <v>216</v>
      </c>
      <c r="B198" t="s">
        <v>15</v>
      </c>
      <c r="C198" t="str">
        <f t="shared" si="6"/>
        <v>B</v>
      </c>
      <c r="D198" t="s">
        <v>18</v>
      </c>
      <c r="E198" t="s">
        <v>10</v>
      </c>
      <c r="F198" t="str">
        <f t="shared" si="7"/>
        <v>Mobile</v>
      </c>
      <c r="G198">
        <v>4</v>
      </c>
      <c r="H198">
        <v>0</v>
      </c>
      <c r="I198">
        <v>0</v>
      </c>
    </row>
    <row r="199" spans="1:9">
      <c r="A199" t="s">
        <v>217</v>
      </c>
      <c r="B199" t="s">
        <v>8</v>
      </c>
      <c r="C199" t="str">
        <f t="shared" si="6"/>
        <v>A</v>
      </c>
      <c r="D199" t="s">
        <v>18</v>
      </c>
      <c r="E199" t="s">
        <v>16</v>
      </c>
      <c r="F199" t="str">
        <f t="shared" si="7"/>
        <v>Mobile</v>
      </c>
      <c r="G199">
        <v>8</v>
      </c>
      <c r="H199">
        <v>0</v>
      </c>
      <c r="I199">
        <v>0</v>
      </c>
    </row>
    <row r="200" spans="1:9">
      <c r="A200" t="s">
        <v>218</v>
      </c>
      <c r="B200" t="s">
        <v>8</v>
      </c>
      <c r="C200" t="str">
        <f t="shared" si="6"/>
        <v>A</v>
      </c>
      <c r="D200" t="s">
        <v>18</v>
      </c>
      <c r="E200" t="s">
        <v>10</v>
      </c>
      <c r="F200" t="str">
        <f t="shared" si="7"/>
        <v>Mobile</v>
      </c>
      <c r="G200">
        <v>9</v>
      </c>
      <c r="H200">
        <v>0</v>
      </c>
      <c r="I200">
        <v>0</v>
      </c>
    </row>
    <row r="201" spans="1:9">
      <c r="A201" t="s">
        <v>219</v>
      </c>
      <c r="B201" t="s">
        <v>15</v>
      </c>
      <c r="C201" t="str">
        <f t="shared" si="6"/>
        <v>B</v>
      </c>
      <c r="D201" t="s">
        <v>18</v>
      </c>
      <c r="E201" t="s">
        <v>33</v>
      </c>
      <c r="F201" t="str">
        <f t="shared" si="7"/>
        <v>Desktop</v>
      </c>
      <c r="G201">
        <v>6</v>
      </c>
      <c r="H201">
        <v>0</v>
      </c>
      <c r="I201">
        <v>0</v>
      </c>
    </row>
    <row r="202" spans="1:9">
      <c r="A202" t="s">
        <v>220</v>
      </c>
      <c r="B202" t="s">
        <v>15</v>
      </c>
      <c r="C202" t="str">
        <f t="shared" si="6"/>
        <v>B</v>
      </c>
      <c r="D202" t="s">
        <v>18</v>
      </c>
      <c r="E202" t="s">
        <v>10</v>
      </c>
      <c r="F202" t="str">
        <f t="shared" si="7"/>
        <v>Mobile</v>
      </c>
      <c r="G202">
        <v>6</v>
      </c>
      <c r="H202">
        <v>0</v>
      </c>
      <c r="I202">
        <v>0</v>
      </c>
    </row>
    <row r="203" spans="1:9">
      <c r="A203" t="s">
        <v>221</v>
      </c>
      <c r="B203" t="s">
        <v>15</v>
      </c>
      <c r="C203" t="str">
        <f t="shared" si="6"/>
        <v>B</v>
      </c>
      <c r="D203" t="s">
        <v>18</v>
      </c>
      <c r="E203" t="s">
        <v>10</v>
      </c>
      <c r="F203" t="str">
        <f t="shared" si="7"/>
        <v>Mobile</v>
      </c>
      <c r="G203">
        <v>7</v>
      </c>
      <c r="H203">
        <v>0</v>
      </c>
      <c r="I203">
        <v>0</v>
      </c>
    </row>
    <row r="204" spans="1:9">
      <c r="A204" t="s">
        <v>222</v>
      </c>
      <c r="B204" t="s">
        <v>8</v>
      </c>
      <c r="C204" t="str">
        <f t="shared" si="6"/>
        <v>A</v>
      </c>
      <c r="D204" t="s">
        <v>18</v>
      </c>
      <c r="E204" t="s">
        <v>23</v>
      </c>
      <c r="F204" t="str">
        <f t="shared" si="7"/>
        <v>Desktop</v>
      </c>
      <c r="G204">
        <v>11</v>
      </c>
      <c r="H204">
        <v>1</v>
      </c>
      <c r="I204">
        <v>1667.92</v>
      </c>
    </row>
    <row r="205" spans="1:9">
      <c r="A205" t="s">
        <v>223</v>
      </c>
      <c r="B205" t="s">
        <v>15</v>
      </c>
      <c r="C205" t="str">
        <f t="shared" si="6"/>
        <v>B</v>
      </c>
      <c r="D205" t="s">
        <v>18</v>
      </c>
      <c r="E205" t="s">
        <v>10</v>
      </c>
      <c r="F205" t="str">
        <f t="shared" si="7"/>
        <v>Mobile</v>
      </c>
      <c r="G205">
        <v>3</v>
      </c>
      <c r="H205">
        <v>1</v>
      </c>
      <c r="I205">
        <v>1444.3</v>
      </c>
    </row>
    <row r="206" spans="1:9">
      <c r="A206" t="s">
        <v>224</v>
      </c>
      <c r="B206" t="s">
        <v>8</v>
      </c>
      <c r="C206" t="str">
        <f t="shared" si="6"/>
        <v>A</v>
      </c>
      <c r="D206" t="s">
        <v>18</v>
      </c>
      <c r="E206" t="s">
        <v>23</v>
      </c>
      <c r="F206" t="str">
        <f t="shared" si="7"/>
        <v>Desktop</v>
      </c>
      <c r="G206">
        <v>8</v>
      </c>
      <c r="H206">
        <v>1</v>
      </c>
      <c r="I206">
        <v>1765.14</v>
      </c>
    </row>
    <row r="207" spans="1:9">
      <c r="A207" t="s">
        <v>225</v>
      </c>
      <c r="B207" t="s">
        <v>8</v>
      </c>
      <c r="C207" t="str">
        <f t="shared" si="6"/>
        <v>A</v>
      </c>
      <c r="D207" t="s">
        <v>13</v>
      </c>
      <c r="E207" t="s">
        <v>10</v>
      </c>
      <c r="F207" t="str">
        <f t="shared" si="7"/>
        <v>Mobile</v>
      </c>
      <c r="G207">
        <v>3</v>
      </c>
      <c r="H207">
        <v>0</v>
      </c>
      <c r="I207">
        <v>0</v>
      </c>
    </row>
    <row r="208" spans="1:9">
      <c r="A208" t="s">
        <v>226</v>
      </c>
      <c r="B208" t="s">
        <v>15</v>
      </c>
      <c r="C208" t="str">
        <f t="shared" si="6"/>
        <v>B</v>
      </c>
      <c r="D208" t="s">
        <v>18</v>
      </c>
      <c r="E208" t="s">
        <v>23</v>
      </c>
      <c r="F208" t="str">
        <f t="shared" si="7"/>
        <v>Desktop</v>
      </c>
      <c r="G208">
        <v>4</v>
      </c>
      <c r="H208">
        <v>0</v>
      </c>
      <c r="I208">
        <v>0</v>
      </c>
    </row>
    <row r="209" spans="1:9">
      <c r="A209" t="s">
        <v>227</v>
      </c>
      <c r="B209" t="s">
        <v>15</v>
      </c>
      <c r="C209" t="str">
        <f t="shared" si="6"/>
        <v>B</v>
      </c>
      <c r="D209" t="s">
        <v>9</v>
      </c>
      <c r="E209" t="s">
        <v>10</v>
      </c>
      <c r="F209" t="str">
        <f t="shared" si="7"/>
        <v>Mobile</v>
      </c>
      <c r="G209">
        <v>5</v>
      </c>
      <c r="H209">
        <v>0</v>
      </c>
      <c r="I209">
        <v>0</v>
      </c>
    </row>
    <row r="210" spans="1:9">
      <c r="A210" t="s">
        <v>228</v>
      </c>
      <c r="B210" t="s">
        <v>15</v>
      </c>
      <c r="C210" t="str">
        <f t="shared" si="6"/>
        <v>B</v>
      </c>
      <c r="D210" t="s">
        <v>20</v>
      </c>
      <c r="E210" t="s">
        <v>10</v>
      </c>
      <c r="F210" t="str">
        <f t="shared" si="7"/>
        <v>Mobile</v>
      </c>
      <c r="G210">
        <v>7</v>
      </c>
      <c r="H210">
        <v>0</v>
      </c>
      <c r="I210">
        <v>0</v>
      </c>
    </row>
    <row r="211" spans="1:9">
      <c r="A211" t="s">
        <v>229</v>
      </c>
      <c r="B211" t="s">
        <v>15</v>
      </c>
      <c r="C211" t="str">
        <f t="shared" si="6"/>
        <v>B</v>
      </c>
      <c r="D211" t="s">
        <v>9</v>
      </c>
      <c r="E211" t="s">
        <v>10</v>
      </c>
      <c r="F211" t="str">
        <f t="shared" si="7"/>
        <v>Mobile</v>
      </c>
      <c r="G211">
        <v>7</v>
      </c>
      <c r="H211">
        <v>1</v>
      </c>
      <c r="I211">
        <v>3830.02</v>
      </c>
    </row>
    <row r="212" spans="1:9">
      <c r="A212" t="s">
        <v>230</v>
      </c>
      <c r="B212" t="s">
        <v>15</v>
      </c>
      <c r="C212" t="str">
        <f t="shared" si="6"/>
        <v>B</v>
      </c>
      <c r="D212" t="s">
        <v>9</v>
      </c>
      <c r="E212" t="s">
        <v>10</v>
      </c>
      <c r="F212" t="str">
        <f t="shared" si="7"/>
        <v>Mobile</v>
      </c>
      <c r="G212">
        <v>5</v>
      </c>
      <c r="H212">
        <v>0</v>
      </c>
      <c r="I212">
        <v>0</v>
      </c>
    </row>
    <row r="213" spans="1:9">
      <c r="A213" t="s">
        <v>231</v>
      </c>
      <c r="B213" t="s">
        <v>8</v>
      </c>
      <c r="C213" t="str">
        <f t="shared" si="6"/>
        <v>A</v>
      </c>
      <c r="D213" t="s">
        <v>9</v>
      </c>
      <c r="E213" t="s">
        <v>10</v>
      </c>
      <c r="F213" t="str">
        <f t="shared" si="7"/>
        <v>Mobile</v>
      </c>
      <c r="G213">
        <v>10</v>
      </c>
      <c r="H213">
        <v>0</v>
      </c>
      <c r="I213">
        <v>0</v>
      </c>
    </row>
    <row r="214" spans="1:9">
      <c r="A214" t="s">
        <v>232</v>
      </c>
      <c r="B214" t="s">
        <v>8</v>
      </c>
      <c r="C214" t="str">
        <f t="shared" si="6"/>
        <v>A</v>
      </c>
      <c r="D214" t="s">
        <v>13</v>
      </c>
      <c r="E214" t="s">
        <v>10</v>
      </c>
      <c r="F214" t="str">
        <f t="shared" si="7"/>
        <v>Mobile</v>
      </c>
      <c r="G214">
        <v>3</v>
      </c>
      <c r="H214">
        <v>0</v>
      </c>
      <c r="I214">
        <v>0</v>
      </c>
    </row>
    <row r="215" spans="1:9">
      <c r="A215" t="s">
        <v>233</v>
      </c>
      <c r="B215" t="s">
        <v>8</v>
      </c>
      <c r="C215" t="str">
        <f t="shared" si="6"/>
        <v>A</v>
      </c>
      <c r="D215" t="s">
        <v>20</v>
      </c>
      <c r="E215" t="s">
        <v>10</v>
      </c>
      <c r="F215" t="str">
        <f t="shared" si="7"/>
        <v>Mobile</v>
      </c>
      <c r="G215">
        <v>2</v>
      </c>
      <c r="H215">
        <v>0</v>
      </c>
      <c r="I215">
        <v>0</v>
      </c>
    </row>
    <row r="216" spans="1:9">
      <c r="A216" t="s">
        <v>234</v>
      </c>
      <c r="B216" t="s">
        <v>8</v>
      </c>
      <c r="C216" t="str">
        <f t="shared" si="6"/>
        <v>A</v>
      </c>
      <c r="D216" t="s">
        <v>20</v>
      </c>
      <c r="E216" t="s">
        <v>10</v>
      </c>
      <c r="F216" t="str">
        <f t="shared" si="7"/>
        <v>Mobile</v>
      </c>
      <c r="G216">
        <v>5</v>
      </c>
      <c r="H216">
        <v>0</v>
      </c>
      <c r="I216">
        <v>0</v>
      </c>
    </row>
    <row r="217" spans="1:9">
      <c r="A217" t="s">
        <v>235</v>
      </c>
      <c r="B217" t="s">
        <v>29</v>
      </c>
      <c r="C217" t="str">
        <f t="shared" si="6"/>
        <v>B</v>
      </c>
      <c r="D217" t="s">
        <v>20</v>
      </c>
      <c r="E217" t="s">
        <v>23</v>
      </c>
      <c r="F217" t="str">
        <f t="shared" si="7"/>
        <v>Desktop</v>
      </c>
      <c r="G217">
        <v>6</v>
      </c>
      <c r="H217">
        <v>0</v>
      </c>
      <c r="I217">
        <v>0</v>
      </c>
    </row>
    <row r="218" spans="1:9">
      <c r="A218" t="s">
        <v>236</v>
      </c>
      <c r="B218" t="s">
        <v>8</v>
      </c>
      <c r="C218" t="str">
        <f t="shared" si="6"/>
        <v>A</v>
      </c>
      <c r="D218" t="s">
        <v>20</v>
      </c>
      <c r="E218" t="s">
        <v>16</v>
      </c>
      <c r="F218" t="str">
        <f t="shared" si="7"/>
        <v>Mobile</v>
      </c>
      <c r="G218">
        <v>7</v>
      </c>
      <c r="H218">
        <v>0</v>
      </c>
      <c r="I218">
        <v>0</v>
      </c>
    </row>
    <row r="219" spans="1:9">
      <c r="A219" t="s">
        <v>237</v>
      </c>
      <c r="B219" t="s">
        <v>15</v>
      </c>
      <c r="C219" t="str">
        <f t="shared" si="6"/>
        <v>B</v>
      </c>
      <c r="D219" t="s">
        <v>20</v>
      </c>
      <c r="E219" t="s">
        <v>10</v>
      </c>
      <c r="F219" t="str">
        <f t="shared" si="7"/>
        <v>Mobile</v>
      </c>
      <c r="G219">
        <v>5</v>
      </c>
      <c r="H219">
        <v>0</v>
      </c>
      <c r="I219">
        <v>0</v>
      </c>
    </row>
    <row r="220" spans="1:9">
      <c r="A220" t="s">
        <v>238</v>
      </c>
      <c r="B220" t="s">
        <v>15</v>
      </c>
      <c r="C220" t="str">
        <f t="shared" si="6"/>
        <v>B</v>
      </c>
      <c r="D220" t="s">
        <v>13</v>
      </c>
      <c r="E220" t="s">
        <v>23</v>
      </c>
      <c r="F220" t="str">
        <f t="shared" si="7"/>
        <v>Desktop</v>
      </c>
      <c r="G220">
        <v>5</v>
      </c>
      <c r="H220">
        <v>0</v>
      </c>
      <c r="I220">
        <v>0</v>
      </c>
    </row>
    <row r="221" spans="1:9">
      <c r="A221" t="s">
        <v>239</v>
      </c>
      <c r="B221" t="s">
        <v>15</v>
      </c>
      <c r="C221" t="str">
        <f t="shared" si="6"/>
        <v>B</v>
      </c>
      <c r="D221" t="s">
        <v>13</v>
      </c>
      <c r="E221" t="s">
        <v>23</v>
      </c>
      <c r="F221" t="str">
        <f t="shared" si="7"/>
        <v>Desktop</v>
      </c>
      <c r="G221">
        <v>7</v>
      </c>
      <c r="H221">
        <v>1</v>
      </c>
      <c r="I221">
        <v>2697.02</v>
      </c>
    </row>
    <row r="222" spans="1:9">
      <c r="A222" t="s">
        <v>240</v>
      </c>
      <c r="B222" t="s">
        <v>15</v>
      </c>
      <c r="C222" t="str">
        <f t="shared" si="6"/>
        <v>B</v>
      </c>
      <c r="D222" t="s">
        <v>13</v>
      </c>
      <c r="E222" t="s">
        <v>10</v>
      </c>
      <c r="F222" t="str">
        <f t="shared" si="7"/>
        <v>Mobile</v>
      </c>
      <c r="G222">
        <v>8</v>
      </c>
      <c r="H222">
        <v>0</v>
      </c>
      <c r="I222">
        <v>0</v>
      </c>
    </row>
    <row r="223" spans="1:9">
      <c r="A223" t="s">
        <v>241</v>
      </c>
      <c r="B223" t="s">
        <v>15</v>
      </c>
      <c r="C223" t="str">
        <f t="shared" si="6"/>
        <v>B</v>
      </c>
      <c r="D223" t="s">
        <v>20</v>
      </c>
      <c r="E223" t="s">
        <v>23</v>
      </c>
      <c r="F223" t="str">
        <f t="shared" si="7"/>
        <v>Desktop</v>
      </c>
      <c r="G223">
        <v>2</v>
      </c>
      <c r="H223">
        <v>0</v>
      </c>
      <c r="I223">
        <v>0</v>
      </c>
    </row>
    <row r="224" spans="1:9">
      <c r="A224" t="s">
        <v>242</v>
      </c>
      <c r="B224" t="s">
        <v>15</v>
      </c>
      <c r="C224" t="str">
        <f t="shared" si="6"/>
        <v>B</v>
      </c>
      <c r="D224" t="s">
        <v>18</v>
      </c>
      <c r="E224" t="s">
        <v>10</v>
      </c>
      <c r="F224" t="str">
        <f t="shared" si="7"/>
        <v>Mobile</v>
      </c>
      <c r="G224">
        <v>10</v>
      </c>
      <c r="H224">
        <v>1</v>
      </c>
      <c r="I224">
        <v>1233.77</v>
      </c>
    </row>
    <row r="225" spans="1:9">
      <c r="A225" t="s">
        <v>243</v>
      </c>
      <c r="B225" t="s">
        <v>8</v>
      </c>
      <c r="C225" t="str">
        <f t="shared" si="6"/>
        <v>A</v>
      </c>
      <c r="D225" t="s">
        <v>18</v>
      </c>
      <c r="E225" t="s">
        <v>10</v>
      </c>
      <c r="F225" t="str">
        <f t="shared" si="7"/>
        <v>Mobile</v>
      </c>
      <c r="G225">
        <v>5</v>
      </c>
      <c r="H225">
        <v>0</v>
      </c>
      <c r="I225">
        <v>0</v>
      </c>
    </row>
    <row r="226" spans="1:9">
      <c r="A226" t="s">
        <v>244</v>
      </c>
      <c r="B226" t="s">
        <v>15</v>
      </c>
      <c r="C226" t="str">
        <f t="shared" si="6"/>
        <v>B</v>
      </c>
      <c r="D226" t="s">
        <v>9</v>
      </c>
      <c r="E226" t="s">
        <v>10</v>
      </c>
      <c r="F226" t="str">
        <f t="shared" si="7"/>
        <v>Mobile</v>
      </c>
      <c r="G226">
        <v>5</v>
      </c>
      <c r="H226">
        <v>0</v>
      </c>
      <c r="I226">
        <v>0</v>
      </c>
    </row>
    <row r="227" spans="1:9">
      <c r="A227" t="s">
        <v>245</v>
      </c>
      <c r="B227" t="s">
        <v>8</v>
      </c>
      <c r="C227" t="str">
        <f t="shared" si="6"/>
        <v>A</v>
      </c>
      <c r="D227" t="s">
        <v>18</v>
      </c>
      <c r="E227" t="s">
        <v>23</v>
      </c>
      <c r="F227" t="str">
        <f t="shared" si="7"/>
        <v>Desktop</v>
      </c>
      <c r="G227">
        <v>7</v>
      </c>
      <c r="H227">
        <v>0</v>
      </c>
      <c r="I227">
        <v>0</v>
      </c>
    </row>
    <row r="228" spans="1:9">
      <c r="A228" t="s">
        <v>246</v>
      </c>
      <c r="B228" t="s">
        <v>8</v>
      </c>
      <c r="C228" t="str">
        <f t="shared" si="6"/>
        <v>A</v>
      </c>
      <c r="D228" t="s">
        <v>13</v>
      </c>
      <c r="E228" t="s">
        <v>23</v>
      </c>
      <c r="F228" t="str">
        <f t="shared" si="7"/>
        <v>Desktop</v>
      </c>
      <c r="G228">
        <v>5</v>
      </c>
      <c r="H228">
        <v>0</v>
      </c>
      <c r="I228">
        <v>0</v>
      </c>
    </row>
    <row r="229" spans="1:9">
      <c r="A229" t="s">
        <v>247</v>
      </c>
      <c r="B229" t="s">
        <v>15</v>
      </c>
      <c r="C229" t="str">
        <f t="shared" si="6"/>
        <v>B</v>
      </c>
      <c r="D229" t="s">
        <v>18</v>
      </c>
      <c r="E229" t="s">
        <v>10</v>
      </c>
      <c r="F229" t="str">
        <f t="shared" si="7"/>
        <v>Mobile</v>
      </c>
      <c r="G229">
        <v>9</v>
      </c>
      <c r="H229">
        <v>0</v>
      </c>
      <c r="I229">
        <v>0</v>
      </c>
    </row>
    <row r="230" spans="1:9">
      <c r="A230" t="s">
        <v>248</v>
      </c>
      <c r="B230" t="s">
        <v>8</v>
      </c>
      <c r="C230" t="str">
        <f t="shared" si="6"/>
        <v>A</v>
      </c>
      <c r="D230" t="s">
        <v>20</v>
      </c>
      <c r="E230" t="s">
        <v>10</v>
      </c>
      <c r="F230" t="str">
        <f t="shared" si="7"/>
        <v>Mobile</v>
      </c>
      <c r="G230">
        <v>14</v>
      </c>
      <c r="H230">
        <v>0</v>
      </c>
      <c r="I230">
        <v>0</v>
      </c>
    </row>
    <row r="231" spans="1:9">
      <c r="A231" t="s">
        <v>249</v>
      </c>
      <c r="B231" t="s">
        <v>12</v>
      </c>
      <c r="C231" t="str">
        <f t="shared" si="6"/>
        <v>A</v>
      </c>
      <c r="D231" t="s">
        <v>20</v>
      </c>
      <c r="E231" t="s">
        <v>83</v>
      </c>
      <c r="F231" t="str">
        <f t="shared" si="7"/>
        <v>Tablet</v>
      </c>
      <c r="G231">
        <v>8</v>
      </c>
      <c r="H231">
        <v>0</v>
      </c>
      <c r="I231">
        <v>0</v>
      </c>
    </row>
    <row r="232" spans="1:9">
      <c r="A232" t="s">
        <v>250</v>
      </c>
      <c r="B232" t="s">
        <v>12</v>
      </c>
      <c r="C232" t="str">
        <f t="shared" si="6"/>
        <v>A</v>
      </c>
      <c r="D232" t="s">
        <v>20</v>
      </c>
      <c r="E232" t="s">
        <v>10</v>
      </c>
      <c r="F232" t="str">
        <f t="shared" si="7"/>
        <v>Mobile</v>
      </c>
      <c r="G232">
        <v>7</v>
      </c>
      <c r="H232">
        <v>1</v>
      </c>
      <c r="I232">
        <v>1535.12</v>
      </c>
    </row>
    <row r="233" spans="1:9">
      <c r="A233" t="s">
        <v>251</v>
      </c>
      <c r="B233" t="s">
        <v>15</v>
      </c>
      <c r="C233" t="str">
        <f t="shared" si="6"/>
        <v>B</v>
      </c>
      <c r="D233" t="s">
        <v>20</v>
      </c>
      <c r="E233" t="s">
        <v>10</v>
      </c>
      <c r="F233" t="str">
        <f t="shared" si="7"/>
        <v>Mobile</v>
      </c>
      <c r="G233">
        <v>5</v>
      </c>
      <c r="H233">
        <v>0</v>
      </c>
      <c r="I233">
        <v>0</v>
      </c>
    </row>
    <row r="234" spans="1:9">
      <c r="A234" t="s">
        <v>252</v>
      </c>
      <c r="B234" t="s">
        <v>8</v>
      </c>
      <c r="C234" t="str">
        <f t="shared" si="6"/>
        <v>A</v>
      </c>
      <c r="D234" t="s">
        <v>20</v>
      </c>
      <c r="E234" t="s">
        <v>33</v>
      </c>
      <c r="F234" t="str">
        <f t="shared" si="7"/>
        <v>Desktop</v>
      </c>
      <c r="G234">
        <v>10</v>
      </c>
      <c r="H234">
        <v>0</v>
      </c>
      <c r="I234">
        <v>0</v>
      </c>
    </row>
    <row r="235" spans="1:9">
      <c r="A235" t="s">
        <v>253</v>
      </c>
      <c r="B235" t="s">
        <v>8</v>
      </c>
      <c r="C235" t="str">
        <f t="shared" si="6"/>
        <v>A</v>
      </c>
      <c r="D235" t="s">
        <v>13</v>
      </c>
      <c r="E235" t="s">
        <v>23</v>
      </c>
      <c r="F235" t="str">
        <f t="shared" si="7"/>
        <v>Desktop</v>
      </c>
      <c r="G235">
        <v>6</v>
      </c>
      <c r="H235">
        <v>0</v>
      </c>
      <c r="I235">
        <v>0</v>
      </c>
    </row>
    <row r="236" spans="1:9">
      <c r="A236" t="s">
        <v>254</v>
      </c>
      <c r="B236" t="s">
        <v>12</v>
      </c>
      <c r="C236" t="str">
        <f t="shared" si="6"/>
        <v>A</v>
      </c>
      <c r="D236" t="s">
        <v>9</v>
      </c>
      <c r="E236" t="s">
        <v>23</v>
      </c>
      <c r="F236" t="str">
        <f t="shared" si="7"/>
        <v>Desktop</v>
      </c>
      <c r="G236">
        <v>3</v>
      </c>
      <c r="H236">
        <v>0</v>
      </c>
      <c r="I236">
        <v>0</v>
      </c>
    </row>
    <row r="237" spans="1:9">
      <c r="A237" t="s">
        <v>255</v>
      </c>
      <c r="B237" t="s">
        <v>8</v>
      </c>
      <c r="C237" t="str">
        <f t="shared" si="6"/>
        <v>A</v>
      </c>
      <c r="D237" t="s">
        <v>13</v>
      </c>
      <c r="E237" t="s">
        <v>23</v>
      </c>
      <c r="F237" t="str">
        <f t="shared" si="7"/>
        <v>Desktop</v>
      </c>
      <c r="G237">
        <v>3</v>
      </c>
      <c r="H237">
        <v>0</v>
      </c>
      <c r="I237">
        <v>0</v>
      </c>
    </row>
    <row r="238" spans="1:9">
      <c r="A238" t="s">
        <v>256</v>
      </c>
      <c r="B238" t="s">
        <v>29</v>
      </c>
      <c r="C238" t="str">
        <f t="shared" si="6"/>
        <v>B</v>
      </c>
      <c r="D238" t="s">
        <v>20</v>
      </c>
      <c r="E238" t="s">
        <v>16</v>
      </c>
      <c r="F238" t="str">
        <f t="shared" si="7"/>
        <v>Mobile</v>
      </c>
      <c r="G238">
        <v>6</v>
      </c>
      <c r="H238">
        <v>0</v>
      </c>
      <c r="I238">
        <v>0</v>
      </c>
    </row>
    <row r="239" spans="1:9">
      <c r="A239" t="s">
        <v>257</v>
      </c>
      <c r="B239" t="s">
        <v>29</v>
      </c>
      <c r="C239" t="str">
        <f t="shared" si="6"/>
        <v>B</v>
      </c>
      <c r="D239" t="s">
        <v>9</v>
      </c>
      <c r="E239" t="s">
        <v>10</v>
      </c>
      <c r="F239" t="str">
        <f t="shared" si="7"/>
        <v>Mobile</v>
      </c>
      <c r="G239">
        <v>7</v>
      </c>
      <c r="H239">
        <v>0</v>
      </c>
      <c r="I239">
        <v>0</v>
      </c>
    </row>
    <row r="240" spans="1:9">
      <c r="A240" t="s">
        <v>258</v>
      </c>
      <c r="B240" t="s">
        <v>15</v>
      </c>
      <c r="C240" t="str">
        <f t="shared" si="6"/>
        <v>B</v>
      </c>
      <c r="D240" t="s">
        <v>13</v>
      </c>
      <c r="E240" t="s">
        <v>10</v>
      </c>
      <c r="F240" t="str">
        <f t="shared" si="7"/>
        <v>Mobile</v>
      </c>
      <c r="G240">
        <v>9</v>
      </c>
      <c r="H240">
        <v>0</v>
      </c>
      <c r="I240">
        <v>0</v>
      </c>
    </row>
    <row r="241" spans="1:9">
      <c r="A241" t="s">
        <v>259</v>
      </c>
      <c r="B241" t="s">
        <v>8</v>
      </c>
      <c r="C241" t="str">
        <f t="shared" si="6"/>
        <v>A</v>
      </c>
      <c r="D241" t="s">
        <v>20</v>
      </c>
      <c r="E241" t="s">
        <v>10</v>
      </c>
      <c r="F241" t="str">
        <f t="shared" si="7"/>
        <v>Mobile</v>
      </c>
      <c r="G241">
        <v>8</v>
      </c>
      <c r="H241">
        <v>0</v>
      </c>
      <c r="I241">
        <v>0</v>
      </c>
    </row>
    <row r="242" spans="1:9">
      <c r="A242" t="s">
        <v>260</v>
      </c>
      <c r="B242" t="s">
        <v>8</v>
      </c>
      <c r="C242" t="str">
        <f t="shared" si="6"/>
        <v>A</v>
      </c>
      <c r="D242" t="s">
        <v>13</v>
      </c>
      <c r="E242" t="s">
        <v>33</v>
      </c>
      <c r="F242" t="str">
        <f t="shared" si="7"/>
        <v>Desktop</v>
      </c>
      <c r="G242">
        <v>5</v>
      </c>
      <c r="H242">
        <v>0</v>
      </c>
      <c r="I242">
        <v>0</v>
      </c>
    </row>
    <row r="243" spans="1:9">
      <c r="A243" t="s">
        <v>261</v>
      </c>
      <c r="B243" t="s">
        <v>15</v>
      </c>
      <c r="C243" t="str">
        <f t="shared" si="6"/>
        <v>B</v>
      </c>
      <c r="D243" t="s">
        <v>20</v>
      </c>
      <c r="E243" t="s">
        <v>23</v>
      </c>
      <c r="F243" t="str">
        <f t="shared" si="7"/>
        <v>Desktop</v>
      </c>
      <c r="G243">
        <v>10</v>
      </c>
      <c r="H243">
        <v>0</v>
      </c>
      <c r="I243">
        <v>0</v>
      </c>
    </row>
    <row r="244" spans="1:9">
      <c r="A244" t="s">
        <v>262</v>
      </c>
      <c r="B244" t="s">
        <v>8</v>
      </c>
      <c r="C244" t="str">
        <f t="shared" si="6"/>
        <v>A</v>
      </c>
      <c r="D244" t="s">
        <v>20</v>
      </c>
      <c r="E244" t="s">
        <v>10</v>
      </c>
      <c r="F244" t="str">
        <f t="shared" si="7"/>
        <v>Mobile</v>
      </c>
      <c r="G244">
        <v>4</v>
      </c>
      <c r="H244">
        <v>0</v>
      </c>
      <c r="I244">
        <v>0</v>
      </c>
    </row>
    <row r="245" spans="1:9">
      <c r="A245" t="s">
        <v>263</v>
      </c>
      <c r="B245" t="s">
        <v>8</v>
      </c>
      <c r="C245" t="str">
        <f t="shared" si="6"/>
        <v>A</v>
      </c>
      <c r="D245" t="s">
        <v>9</v>
      </c>
      <c r="E245" t="s">
        <v>16</v>
      </c>
      <c r="F245" t="str">
        <f t="shared" si="7"/>
        <v>Mobile</v>
      </c>
      <c r="G245">
        <v>7</v>
      </c>
      <c r="H245">
        <v>1</v>
      </c>
      <c r="I245">
        <v>4723.3500000000004</v>
      </c>
    </row>
    <row r="246" spans="1:9">
      <c r="A246" t="s">
        <v>264</v>
      </c>
      <c r="B246" t="s">
        <v>15</v>
      </c>
      <c r="C246" t="str">
        <f t="shared" si="6"/>
        <v>B</v>
      </c>
      <c r="D246" t="s">
        <v>20</v>
      </c>
      <c r="E246" t="s">
        <v>10</v>
      </c>
      <c r="F246" t="str">
        <f t="shared" si="7"/>
        <v>Mobile</v>
      </c>
      <c r="G246">
        <v>5</v>
      </c>
      <c r="H246">
        <v>0</v>
      </c>
      <c r="I246">
        <v>0</v>
      </c>
    </row>
    <row r="247" spans="1:9">
      <c r="A247" t="s">
        <v>265</v>
      </c>
      <c r="B247" t="s">
        <v>12</v>
      </c>
      <c r="C247" t="str">
        <f t="shared" si="6"/>
        <v>A</v>
      </c>
      <c r="D247" t="s">
        <v>13</v>
      </c>
      <c r="E247" t="s">
        <v>10</v>
      </c>
      <c r="F247" t="str">
        <f t="shared" si="7"/>
        <v>Mobile</v>
      </c>
      <c r="G247">
        <v>6</v>
      </c>
      <c r="H247">
        <v>0</v>
      </c>
      <c r="I247">
        <v>0</v>
      </c>
    </row>
    <row r="248" spans="1:9">
      <c r="A248" t="s">
        <v>266</v>
      </c>
      <c r="B248" t="s">
        <v>15</v>
      </c>
      <c r="C248" t="str">
        <f t="shared" si="6"/>
        <v>B</v>
      </c>
      <c r="D248" t="s">
        <v>9</v>
      </c>
      <c r="E248" t="s">
        <v>23</v>
      </c>
      <c r="F248" t="str">
        <f t="shared" si="7"/>
        <v>Desktop</v>
      </c>
      <c r="G248">
        <v>7</v>
      </c>
      <c r="H248">
        <v>1</v>
      </c>
      <c r="I248">
        <v>4975.29</v>
      </c>
    </row>
    <row r="249" spans="1:9">
      <c r="A249" t="s">
        <v>267</v>
      </c>
      <c r="B249" t="s">
        <v>15</v>
      </c>
      <c r="C249" t="str">
        <f t="shared" si="6"/>
        <v>B</v>
      </c>
      <c r="D249" t="s">
        <v>13</v>
      </c>
      <c r="E249" t="s">
        <v>10</v>
      </c>
      <c r="F249" t="str">
        <f t="shared" si="7"/>
        <v>Mobile</v>
      </c>
      <c r="G249">
        <v>4</v>
      </c>
      <c r="H249">
        <v>0</v>
      </c>
      <c r="I249">
        <v>0</v>
      </c>
    </row>
    <row r="250" spans="1:9">
      <c r="A250" t="s">
        <v>268</v>
      </c>
      <c r="B250" t="s">
        <v>8</v>
      </c>
      <c r="C250" t="str">
        <f t="shared" si="6"/>
        <v>A</v>
      </c>
      <c r="D250" t="s">
        <v>20</v>
      </c>
      <c r="E250" t="s">
        <v>16</v>
      </c>
      <c r="F250" t="str">
        <f t="shared" si="7"/>
        <v>Mobile</v>
      </c>
      <c r="G250">
        <v>7</v>
      </c>
      <c r="H250">
        <v>0</v>
      </c>
      <c r="I250">
        <v>0</v>
      </c>
    </row>
    <row r="251" spans="1:9">
      <c r="A251" t="s">
        <v>269</v>
      </c>
      <c r="B251" t="s">
        <v>15</v>
      </c>
      <c r="C251" t="str">
        <f t="shared" si="6"/>
        <v>B</v>
      </c>
      <c r="D251" t="s">
        <v>20</v>
      </c>
      <c r="E251" t="s">
        <v>10</v>
      </c>
      <c r="F251" t="str">
        <f t="shared" si="7"/>
        <v>Mobile</v>
      </c>
      <c r="G251">
        <v>4</v>
      </c>
      <c r="H251">
        <v>0</v>
      </c>
      <c r="I251">
        <v>0</v>
      </c>
    </row>
    <row r="252" spans="1:9">
      <c r="A252" t="s">
        <v>270</v>
      </c>
      <c r="B252" t="s">
        <v>29</v>
      </c>
      <c r="C252" t="str">
        <f t="shared" si="6"/>
        <v>B</v>
      </c>
      <c r="D252" t="s">
        <v>20</v>
      </c>
      <c r="E252" t="s">
        <v>16</v>
      </c>
      <c r="F252" t="str">
        <f t="shared" si="7"/>
        <v>Mobile</v>
      </c>
      <c r="G252">
        <v>9</v>
      </c>
      <c r="H252">
        <v>1</v>
      </c>
      <c r="I252">
        <v>1351.49</v>
      </c>
    </row>
    <row r="253" spans="1:9">
      <c r="A253" t="s">
        <v>271</v>
      </c>
      <c r="B253" t="s">
        <v>8</v>
      </c>
      <c r="C253" t="str">
        <f t="shared" si="6"/>
        <v>A</v>
      </c>
      <c r="D253" t="s">
        <v>13</v>
      </c>
      <c r="E253" t="s">
        <v>23</v>
      </c>
      <c r="F253" t="str">
        <f t="shared" si="7"/>
        <v>Desktop</v>
      </c>
      <c r="G253">
        <v>10</v>
      </c>
      <c r="H253">
        <v>0</v>
      </c>
      <c r="I253">
        <v>0</v>
      </c>
    </row>
    <row r="254" spans="1:9">
      <c r="A254" t="s">
        <v>272</v>
      </c>
      <c r="B254" t="s">
        <v>15</v>
      </c>
      <c r="C254" t="str">
        <f t="shared" si="6"/>
        <v>B</v>
      </c>
      <c r="D254" t="s">
        <v>13</v>
      </c>
      <c r="E254" t="s">
        <v>10</v>
      </c>
      <c r="F254" t="str">
        <f t="shared" si="7"/>
        <v>Mobile</v>
      </c>
      <c r="G254">
        <v>4</v>
      </c>
      <c r="H254">
        <v>0</v>
      </c>
      <c r="I254">
        <v>0</v>
      </c>
    </row>
    <row r="255" spans="1:9">
      <c r="A255" t="s">
        <v>273</v>
      </c>
      <c r="B255" t="s">
        <v>15</v>
      </c>
      <c r="C255" t="str">
        <f t="shared" si="6"/>
        <v>B</v>
      </c>
      <c r="D255" t="s">
        <v>20</v>
      </c>
      <c r="E255" t="s">
        <v>83</v>
      </c>
      <c r="F255" t="str">
        <f t="shared" si="7"/>
        <v>Tablet</v>
      </c>
      <c r="G255">
        <v>5</v>
      </c>
      <c r="H255">
        <v>0</v>
      </c>
      <c r="I255">
        <v>0</v>
      </c>
    </row>
    <row r="256" spans="1:9">
      <c r="A256" t="s">
        <v>274</v>
      </c>
      <c r="B256" t="s">
        <v>15</v>
      </c>
      <c r="C256" t="str">
        <f t="shared" si="6"/>
        <v>B</v>
      </c>
      <c r="D256" t="s">
        <v>18</v>
      </c>
      <c r="E256" t="s">
        <v>10</v>
      </c>
      <c r="F256" t="str">
        <f t="shared" si="7"/>
        <v>Mobile</v>
      </c>
      <c r="G256">
        <v>8</v>
      </c>
      <c r="H256">
        <v>0</v>
      </c>
      <c r="I256">
        <v>0</v>
      </c>
    </row>
    <row r="257" spans="1:9">
      <c r="A257" t="s">
        <v>275</v>
      </c>
      <c r="B257" t="s">
        <v>15</v>
      </c>
      <c r="C257" t="str">
        <f t="shared" si="6"/>
        <v>B</v>
      </c>
      <c r="D257" t="s">
        <v>13</v>
      </c>
      <c r="E257" t="s">
        <v>10</v>
      </c>
      <c r="F257" t="str">
        <f t="shared" si="7"/>
        <v>Mobile</v>
      </c>
      <c r="G257">
        <v>10</v>
      </c>
      <c r="H257">
        <v>0</v>
      </c>
      <c r="I257">
        <v>0</v>
      </c>
    </row>
    <row r="258" spans="1:9">
      <c r="A258" t="s">
        <v>276</v>
      </c>
      <c r="B258" t="s">
        <v>15</v>
      </c>
      <c r="C258" t="str">
        <f t="shared" ref="C258:C321" si="8">IF(OR(B258="control", B258="A"), "A", "B")</f>
        <v>B</v>
      </c>
      <c r="D258" t="s">
        <v>20</v>
      </c>
      <c r="E258" t="s">
        <v>10</v>
      </c>
      <c r="F258" t="str">
        <f t="shared" ref="F258:F321" si="9">PROPER(E258)</f>
        <v>Mobile</v>
      </c>
      <c r="G258">
        <v>8</v>
      </c>
      <c r="H258">
        <v>0</v>
      </c>
      <c r="I258">
        <v>0</v>
      </c>
    </row>
    <row r="259" spans="1:9">
      <c r="A259" t="s">
        <v>277</v>
      </c>
      <c r="B259" t="s">
        <v>8</v>
      </c>
      <c r="C259" t="str">
        <f t="shared" si="8"/>
        <v>A</v>
      </c>
      <c r="D259" t="s">
        <v>13</v>
      </c>
      <c r="E259" t="s">
        <v>16</v>
      </c>
      <c r="F259" t="str">
        <f t="shared" si="9"/>
        <v>Mobile</v>
      </c>
      <c r="G259">
        <v>9</v>
      </c>
      <c r="H259">
        <v>1</v>
      </c>
      <c r="I259">
        <v>2060.58</v>
      </c>
    </row>
    <row r="260" spans="1:9">
      <c r="A260" t="s">
        <v>278</v>
      </c>
      <c r="B260" t="s">
        <v>8</v>
      </c>
      <c r="C260" t="str">
        <f t="shared" si="8"/>
        <v>A</v>
      </c>
      <c r="D260" t="s">
        <v>13</v>
      </c>
      <c r="E260" t="s">
        <v>10</v>
      </c>
      <c r="F260" t="str">
        <f t="shared" si="9"/>
        <v>Mobile</v>
      </c>
      <c r="G260">
        <v>8</v>
      </c>
      <c r="H260">
        <v>0</v>
      </c>
      <c r="I260">
        <v>0</v>
      </c>
    </row>
    <row r="261" spans="1:9">
      <c r="A261" t="s">
        <v>279</v>
      </c>
      <c r="B261" t="s">
        <v>15</v>
      </c>
      <c r="C261" t="str">
        <f t="shared" si="8"/>
        <v>B</v>
      </c>
      <c r="D261" t="s">
        <v>20</v>
      </c>
      <c r="E261" t="s">
        <v>10</v>
      </c>
      <c r="F261" t="str">
        <f t="shared" si="9"/>
        <v>Mobile</v>
      </c>
      <c r="G261">
        <v>8</v>
      </c>
      <c r="H261">
        <v>0</v>
      </c>
      <c r="I261">
        <v>0</v>
      </c>
    </row>
    <row r="262" spans="1:9">
      <c r="A262" t="s">
        <v>280</v>
      </c>
      <c r="B262" t="s">
        <v>15</v>
      </c>
      <c r="C262" t="str">
        <f t="shared" si="8"/>
        <v>B</v>
      </c>
      <c r="D262" t="s">
        <v>20</v>
      </c>
      <c r="E262" t="s">
        <v>10</v>
      </c>
      <c r="F262" t="str">
        <f t="shared" si="9"/>
        <v>Mobile</v>
      </c>
      <c r="G262">
        <v>6</v>
      </c>
      <c r="H262">
        <v>0</v>
      </c>
      <c r="I262">
        <v>0</v>
      </c>
    </row>
    <row r="263" spans="1:9">
      <c r="A263" t="s">
        <v>281</v>
      </c>
      <c r="B263" t="s">
        <v>15</v>
      </c>
      <c r="C263" t="str">
        <f t="shared" si="8"/>
        <v>B</v>
      </c>
      <c r="D263" t="s">
        <v>9</v>
      </c>
      <c r="E263" t="s">
        <v>10</v>
      </c>
      <c r="F263" t="str">
        <f t="shared" si="9"/>
        <v>Mobile</v>
      </c>
      <c r="G263">
        <v>2</v>
      </c>
      <c r="H263">
        <v>1</v>
      </c>
      <c r="I263">
        <v>5085.8999999999996</v>
      </c>
    </row>
    <row r="264" spans="1:9">
      <c r="A264" t="s">
        <v>282</v>
      </c>
      <c r="B264" t="s">
        <v>15</v>
      </c>
      <c r="C264" t="str">
        <f t="shared" si="8"/>
        <v>B</v>
      </c>
      <c r="D264" t="s">
        <v>13</v>
      </c>
      <c r="E264" t="s">
        <v>23</v>
      </c>
      <c r="F264" t="str">
        <f t="shared" si="9"/>
        <v>Desktop</v>
      </c>
      <c r="G264">
        <v>9</v>
      </c>
      <c r="H264">
        <v>0</v>
      </c>
      <c r="I264">
        <v>0</v>
      </c>
    </row>
    <row r="265" spans="1:9">
      <c r="A265" t="s">
        <v>283</v>
      </c>
      <c r="B265" t="s">
        <v>15</v>
      </c>
      <c r="C265" t="str">
        <f t="shared" si="8"/>
        <v>B</v>
      </c>
      <c r="D265" t="s">
        <v>13</v>
      </c>
      <c r="E265" t="s">
        <v>10</v>
      </c>
      <c r="F265" t="str">
        <f t="shared" si="9"/>
        <v>Mobile</v>
      </c>
      <c r="G265">
        <v>2</v>
      </c>
      <c r="H265">
        <v>0</v>
      </c>
      <c r="I265">
        <v>0</v>
      </c>
    </row>
    <row r="266" spans="1:9">
      <c r="A266" t="s">
        <v>284</v>
      </c>
      <c r="B266" t="s">
        <v>15</v>
      </c>
      <c r="C266" t="str">
        <f t="shared" si="8"/>
        <v>B</v>
      </c>
      <c r="D266" t="s">
        <v>13</v>
      </c>
      <c r="E266" t="s">
        <v>10</v>
      </c>
      <c r="F266" t="str">
        <f t="shared" si="9"/>
        <v>Mobile</v>
      </c>
      <c r="G266">
        <v>2</v>
      </c>
      <c r="H266">
        <v>0</v>
      </c>
      <c r="I266">
        <v>0</v>
      </c>
    </row>
    <row r="267" spans="1:9">
      <c r="A267" t="s">
        <v>285</v>
      </c>
      <c r="B267" t="s">
        <v>15</v>
      </c>
      <c r="C267" t="str">
        <f t="shared" si="8"/>
        <v>B</v>
      </c>
      <c r="D267" t="s">
        <v>20</v>
      </c>
      <c r="E267" t="s">
        <v>10</v>
      </c>
      <c r="F267" t="str">
        <f t="shared" si="9"/>
        <v>Mobile</v>
      </c>
      <c r="G267">
        <v>4</v>
      </c>
      <c r="H267">
        <v>1</v>
      </c>
      <c r="I267">
        <v>1567.83</v>
      </c>
    </row>
    <row r="268" spans="1:9">
      <c r="A268" t="s">
        <v>286</v>
      </c>
      <c r="B268" t="s">
        <v>15</v>
      </c>
      <c r="C268" t="str">
        <f t="shared" si="8"/>
        <v>B</v>
      </c>
      <c r="D268" t="s">
        <v>20</v>
      </c>
      <c r="E268" t="s">
        <v>10</v>
      </c>
      <c r="F268" t="str">
        <f t="shared" si="9"/>
        <v>Mobile</v>
      </c>
      <c r="G268">
        <v>4</v>
      </c>
      <c r="H268">
        <v>0</v>
      </c>
      <c r="I268">
        <v>0</v>
      </c>
    </row>
    <row r="269" spans="1:9">
      <c r="A269" t="s">
        <v>287</v>
      </c>
      <c r="B269" t="s">
        <v>15</v>
      </c>
      <c r="C269" t="str">
        <f t="shared" si="8"/>
        <v>B</v>
      </c>
      <c r="D269" t="s">
        <v>13</v>
      </c>
      <c r="E269" t="s">
        <v>33</v>
      </c>
      <c r="F269" t="str">
        <f t="shared" si="9"/>
        <v>Desktop</v>
      </c>
      <c r="G269">
        <v>5</v>
      </c>
      <c r="H269">
        <v>0</v>
      </c>
      <c r="I269">
        <v>0</v>
      </c>
    </row>
    <row r="270" spans="1:9">
      <c r="A270" t="s">
        <v>288</v>
      </c>
      <c r="B270" t="s">
        <v>15</v>
      </c>
      <c r="C270" t="str">
        <f t="shared" si="8"/>
        <v>B</v>
      </c>
      <c r="D270" t="s">
        <v>20</v>
      </c>
      <c r="E270" t="s">
        <v>10</v>
      </c>
      <c r="F270" t="str">
        <f t="shared" si="9"/>
        <v>Mobile</v>
      </c>
      <c r="G270">
        <v>6</v>
      </c>
      <c r="H270">
        <v>0</v>
      </c>
      <c r="I270">
        <v>0</v>
      </c>
    </row>
    <row r="271" spans="1:9">
      <c r="A271" t="s">
        <v>289</v>
      </c>
      <c r="B271" t="s">
        <v>15</v>
      </c>
      <c r="C271" t="str">
        <f t="shared" si="8"/>
        <v>B</v>
      </c>
      <c r="D271" t="s">
        <v>20</v>
      </c>
      <c r="E271" t="s">
        <v>83</v>
      </c>
      <c r="F271" t="str">
        <f t="shared" si="9"/>
        <v>Tablet</v>
      </c>
      <c r="G271">
        <v>9</v>
      </c>
      <c r="H271">
        <v>0</v>
      </c>
      <c r="I271">
        <v>0</v>
      </c>
    </row>
    <row r="272" spans="1:9">
      <c r="A272" t="s">
        <v>290</v>
      </c>
      <c r="B272" t="s">
        <v>8</v>
      </c>
      <c r="C272" t="str">
        <f t="shared" si="8"/>
        <v>A</v>
      </c>
      <c r="D272" t="s">
        <v>9</v>
      </c>
      <c r="E272" t="s">
        <v>10</v>
      </c>
      <c r="F272" t="str">
        <f t="shared" si="9"/>
        <v>Mobile</v>
      </c>
      <c r="G272">
        <v>6</v>
      </c>
      <c r="H272">
        <v>1</v>
      </c>
      <c r="I272">
        <v>3736.88</v>
      </c>
    </row>
    <row r="273" spans="1:9">
      <c r="A273" t="s">
        <v>291</v>
      </c>
      <c r="B273" t="s">
        <v>8</v>
      </c>
      <c r="C273" t="str">
        <f t="shared" si="8"/>
        <v>A</v>
      </c>
      <c r="D273" t="s">
        <v>18</v>
      </c>
      <c r="E273" t="s">
        <v>10</v>
      </c>
      <c r="F273" t="str">
        <f t="shared" si="9"/>
        <v>Mobile</v>
      </c>
      <c r="G273">
        <v>4</v>
      </c>
      <c r="H273">
        <v>0</v>
      </c>
      <c r="I273">
        <v>0</v>
      </c>
    </row>
    <row r="274" spans="1:9">
      <c r="A274" t="s">
        <v>292</v>
      </c>
      <c r="B274" t="s">
        <v>8</v>
      </c>
      <c r="C274" t="str">
        <f t="shared" si="8"/>
        <v>A</v>
      </c>
      <c r="D274" t="s">
        <v>9</v>
      </c>
      <c r="E274" t="s">
        <v>16</v>
      </c>
      <c r="F274" t="str">
        <f t="shared" si="9"/>
        <v>Mobile</v>
      </c>
      <c r="G274">
        <v>5</v>
      </c>
      <c r="H274">
        <v>0</v>
      </c>
      <c r="I274">
        <v>0</v>
      </c>
    </row>
    <row r="275" spans="1:9">
      <c r="A275" t="s">
        <v>293</v>
      </c>
      <c r="B275" t="s">
        <v>15</v>
      </c>
      <c r="C275" t="str">
        <f t="shared" si="8"/>
        <v>B</v>
      </c>
      <c r="D275" t="s">
        <v>9</v>
      </c>
      <c r="E275" t="s">
        <v>10</v>
      </c>
      <c r="F275" t="str">
        <f t="shared" si="9"/>
        <v>Mobile</v>
      </c>
      <c r="G275">
        <v>5</v>
      </c>
      <c r="H275">
        <v>0</v>
      </c>
      <c r="I275">
        <v>0</v>
      </c>
    </row>
    <row r="276" spans="1:9">
      <c r="A276" t="s">
        <v>294</v>
      </c>
      <c r="B276" t="s">
        <v>8</v>
      </c>
      <c r="C276" t="str">
        <f t="shared" si="8"/>
        <v>A</v>
      </c>
      <c r="D276" t="s">
        <v>20</v>
      </c>
      <c r="E276" t="s">
        <v>23</v>
      </c>
      <c r="F276" t="str">
        <f t="shared" si="9"/>
        <v>Desktop</v>
      </c>
      <c r="G276">
        <v>5</v>
      </c>
      <c r="H276">
        <v>0</v>
      </c>
      <c r="I276">
        <v>0</v>
      </c>
    </row>
    <row r="277" spans="1:9">
      <c r="A277" t="s">
        <v>295</v>
      </c>
      <c r="B277" t="s">
        <v>15</v>
      </c>
      <c r="C277" t="str">
        <f t="shared" si="8"/>
        <v>B</v>
      </c>
      <c r="D277" t="s">
        <v>18</v>
      </c>
      <c r="E277" t="s">
        <v>83</v>
      </c>
      <c r="F277" t="str">
        <f t="shared" si="9"/>
        <v>Tablet</v>
      </c>
      <c r="G277">
        <v>12</v>
      </c>
      <c r="H277">
        <v>0</v>
      </c>
      <c r="I277">
        <v>0</v>
      </c>
    </row>
    <row r="278" spans="1:9">
      <c r="A278" t="s">
        <v>296</v>
      </c>
      <c r="B278" t="s">
        <v>15</v>
      </c>
      <c r="C278" t="str">
        <f t="shared" si="8"/>
        <v>B</v>
      </c>
      <c r="D278" t="s">
        <v>20</v>
      </c>
      <c r="E278" t="s">
        <v>10</v>
      </c>
      <c r="F278" t="str">
        <f t="shared" si="9"/>
        <v>Mobile</v>
      </c>
      <c r="G278">
        <v>5</v>
      </c>
      <c r="H278">
        <v>0</v>
      </c>
      <c r="I278">
        <v>0</v>
      </c>
    </row>
    <row r="279" spans="1:9">
      <c r="A279" t="s">
        <v>297</v>
      </c>
      <c r="B279" t="s">
        <v>8</v>
      </c>
      <c r="C279" t="str">
        <f t="shared" si="8"/>
        <v>A</v>
      </c>
      <c r="D279" t="s">
        <v>18</v>
      </c>
      <c r="E279" t="s">
        <v>10</v>
      </c>
      <c r="F279" t="str">
        <f t="shared" si="9"/>
        <v>Mobile</v>
      </c>
      <c r="G279">
        <v>5</v>
      </c>
      <c r="H279">
        <v>1</v>
      </c>
      <c r="I279">
        <v>878.18</v>
      </c>
    </row>
    <row r="280" spans="1:9">
      <c r="A280" t="s">
        <v>298</v>
      </c>
      <c r="B280" t="s">
        <v>15</v>
      </c>
      <c r="C280" t="str">
        <f t="shared" si="8"/>
        <v>B</v>
      </c>
      <c r="D280" t="s">
        <v>18</v>
      </c>
      <c r="E280" t="s">
        <v>23</v>
      </c>
      <c r="F280" t="str">
        <f t="shared" si="9"/>
        <v>Desktop</v>
      </c>
      <c r="G280">
        <v>4</v>
      </c>
      <c r="H280">
        <v>0</v>
      </c>
      <c r="I280">
        <v>0</v>
      </c>
    </row>
    <row r="281" spans="1:9">
      <c r="A281" t="s">
        <v>299</v>
      </c>
      <c r="B281" t="s">
        <v>8</v>
      </c>
      <c r="C281" t="str">
        <f t="shared" si="8"/>
        <v>A</v>
      </c>
      <c r="D281" t="s">
        <v>13</v>
      </c>
      <c r="E281" t="s">
        <v>10</v>
      </c>
      <c r="F281" t="str">
        <f t="shared" si="9"/>
        <v>Mobile</v>
      </c>
      <c r="G281">
        <v>7</v>
      </c>
      <c r="H281">
        <v>0</v>
      </c>
      <c r="I281">
        <v>0</v>
      </c>
    </row>
    <row r="282" spans="1:9">
      <c r="A282" t="s">
        <v>300</v>
      </c>
      <c r="B282" t="s">
        <v>8</v>
      </c>
      <c r="C282" t="str">
        <f t="shared" si="8"/>
        <v>A</v>
      </c>
      <c r="D282" t="s">
        <v>18</v>
      </c>
      <c r="E282" t="s">
        <v>10</v>
      </c>
      <c r="F282" t="str">
        <f t="shared" si="9"/>
        <v>Mobile</v>
      </c>
      <c r="G282">
        <v>7</v>
      </c>
      <c r="H282">
        <v>0</v>
      </c>
      <c r="I282">
        <v>0</v>
      </c>
    </row>
    <row r="283" spans="1:9">
      <c r="A283" t="s">
        <v>301</v>
      </c>
      <c r="B283" t="s">
        <v>15</v>
      </c>
      <c r="C283" t="str">
        <f t="shared" si="8"/>
        <v>B</v>
      </c>
      <c r="D283" t="s">
        <v>13</v>
      </c>
      <c r="E283" t="s">
        <v>10</v>
      </c>
      <c r="F283" t="str">
        <f t="shared" si="9"/>
        <v>Mobile</v>
      </c>
      <c r="G283">
        <v>4</v>
      </c>
      <c r="H283">
        <v>0</v>
      </c>
      <c r="I283">
        <v>0</v>
      </c>
    </row>
    <row r="284" spans="1:9">
      <c r="A284" t="s">
        <v>302</v>
      </c>
      <c r="B284" t="s">
        <v>8</v>
      </c>
      <c r="C284" t="str">
        <f t="shared" si="8"/>
        <v>A</v>
      </c>
      <c r="D284" t="s">
        <v>20</v>
      </c>
      <c r="E284" t="s">
        <v>10</v>
      </c>
      <c r="F284" t="str">
        <f t="shared" si="9"/>
        <v>Mobile</v>
      </c>
      <c r="G284">
        <v>7</v>
      </c>
      <c r="H284">
        <v>0</v>
      </c>
      <c r="I284">
        <v>0</v>
      </c>
    </row>
    <row r="285" spans="1:9">
      <c r="A285" t="s">
        <v>303</v>
      </c>
      <c r="B285" t="s">
        <v>8</v>
      </c>
      <c r="C285" t="str">
        <f t="shared" si="8"/>
        <v>A</v>
      </c>
      <c r="D285" t="s">
        <v>13</v>
      </c>
      <c r="E285" t="s">
        <v>23</v>
      </c>
      <c r="F285" t="str">
        <f t="shared" si="9"/>
        <v>Desktop</v>
      </c>
      <c r="G285">
        <v>6</v>
      </c>
      <c r="H285">
        <v>0</v>
      </c>
      <c r="I285">
        <v>0</v>
      </c>
    </row>
    <row r="286" spans="1:9">
      <c r="A286" t="s">
        <v>304</v>
      </c>
      <c r="B286" t="s">
        <v>15</v>
      </c>
      <c r="C286" t="str">
        <f t="shared" si="8"/>
        <v>B</v>
      </c>
      <c r="D286" t="s">
        <v>13</v>
      </c>
      <c r="E286" t="s">
        <v>10</v>
      </c>
      <c r="F286" t="str">
        <f t="shared" si="9"/>
        <v>Mobile</v>
      </c>
      <c r="G286">
        <v>8</v>
      </c>
      <c r="H286">
        <v>0</v>
      </c>
      <c r="I286">
        <v>0</v>
      </c>
    </row>
    <row r="287" spans="1:9">
      <c r="A287" t="s">
        <v>305</v>
      </c>
      <c r="B287" t="s">
        <v>15</v>
      </c>
      <c r="C287" t="str">
        <f t="shared" si="8"/>
        <v>B</v>
      </c>
      <c r="D287" t="s">
        <v>20</v>
      </c>
      <c r="E287" t="s">
        <v>10</v>
      </c>
      <c r="F287" t="str">
        <f t="shared" si="9"/>
        <v>Mobile</v>
      </c>
      <c r="G287">
        <v>4</v>
      </c>
      <c r="H287">
        <v>0</v>
      </c>
      <c r="I287">
        <v>0</v>
      </c>
    </row>
    <row r="288" spans="1:9">
      <c r="A288" t="s">
        <v>306</v>
      </c>
      <c r="B288" t="s">
        <v>8</v>
      </c>
      <c r="C288" t="str">
        <f t="shared" si="8"/>
        <v>A</v>
      </c>
      <c r="D288" t="s">
        <v>13</v>
      </c>
      <c r="E288" t="s">
        <v>23</v>
      </c>
      <c r="F288" t="str">
        <f t="shared" si="9"/>
        <v>Desktop</v>
      </c>
      <c r="G288">
        <v>4</v>
      </c>
      <c r="H288">
        <v>1</v>
      </c>
      <c r="I288">
        <v>3038.71</v>
      </c>
    </row>
    <row r="289" spans="1:9">
      <c r="A289" t="s">
        <v>307</v>
      </c>
      <c r="B289" t="s">
        <v>15</v>
      </c>
      <c r="C289" t="str">
        <f t="shared" si="8"/>
        <v>B</v>
      </c>
      <c r="D289" t="s">
        <v>18</v>
      </c>
      <c r="E289" t="s">
        <v>10</v>
      </c>
      <c r="F289" t="str">
        <f t="shared" si="9"/>
        <v>Mobile</v>
      </c>
      <c r="G289">
        <v>3</v>
      </c>
      <c r="H289">
        <v>0</v>
      </c>
      <c r="I289">
        <v>0</v>
      </c>
    </row>
    <row r="290" spans="1:9">
      <c r="A290" t="s">
        <v>308</v>
      </c>
      <c r="B290" t="s">
        <v>8</v>
      </c>
      <c r="C290" t="str">
        <f t="shared" si="8"/>
        <v>A</v>
      </c>
      <c r="D290" t="s">
        <v>20</v>
      </c>
      <c r="E290" t="s">
        <v>10</v>
      </c>
      <c r="F290" t="str">
        <f t="shared" si="9"/>
        <v>Mobile</v>
      </c>
      <c r="G290">
        <v>10</v>
      </c>
      <c r="H290">
        <v>0</v>
      </c>
      <c r="I290">
        <v>0</v>
      </c>
    </row>
    <row r="291" spans="1:9">
      <c r="A291" t="s">
        <v>309</v>
      </c>
      <c r="B291" t="s">
        <v>8</v>
      </c>
      <c r="C291" t="str">
        <f t="shared" si="8"/>
        <v>A</v>
      </c>
      <c r="D291" t="s">
        <v>9</v>
      </c>
      <c r="E291" t="s">
        <v>23</v>
      </c>
      <c r="F291" t="str">
        <f t="shared" si="9"/>
        <v>Desktop</v>
      </c>
      <c r="G291">
        <v>9</v>
      </c>
      <c r="H291">
        <v>0</v>
      </c>
      <c r="I291">
        <v>0</v>
      </c>
    </row>
    <row r="292" spans="1:9">
      <c r="A292" t="s">
        <v>310</v>
      </c>
      <c r="B292" t="s">
        <v>15</v>
      </c>
      <c r="C292" t="str">
        <f t="shared" si="8"/>
        <v>B</v>
      </c>
      <c r="D292" t="s">
        <v>9</v>
      </c>
      <c r="E292" t="s">
        <v>10</v>
      </c>
      <c r="F292" t="str">
        <f t="shared" si="9"/>
        <v>Mobile</v>
      </c>
      <c r="G292">
        <v>2</v>
      </c>
      <c r="H292">
        <v>0</v>
      </c>
      <c r="I292">
        <v>0</v>
      </c>
    </row>
    <row r="293" spans="1:9">
      <c r="A293" t="s">
        <v>311</v>
      </c>
      <c r="B293" t="s">
        <v>15</v>
      </c>
      <c r="C293" t="str">
        <f t="shared" si="8"/>
        <v>B</v>
      </c>
      <c r="D293" t="s">
        <v>18</v>
      </c>
      <c r="E293" t="s">
        <v>23</v>
      </c>
      <c r="F293" t="str">
        <f t="shared" si="9"/>
        <v>Desktop</v>
      </c>
      <c r="G293">
        <v>4</v>
      </c>
      <c r="H293">
        <v>0</v>
      </c>
      <c r="I293">
        <v>0</v>
      </c>
    </row>
    <row r="294" spans="1:9">
      <c r="A294" t="s">
        <v>312</v>
      </c>
      <c r="B294" t="s">
        <v>15</v>
      </c>
      <c r="C294" t="str">
        <f t="shared" si="8"/>
        <v>B</v>
      </c>
      <c r="D294" t="s">
        <v>18</v>
      </c>
      <c r="E294" t="s">
        <v>16</v>
      </c>
      <c r="F294" t="str">
        <f t="shared" si="9"/>
        <v>Mobile</v>
      </c>
      <c r="G294">
        <v>5</v>
      </c>
      <c r="H294">
        <v>0</v>
      </c>
      <c r="I294">
        <v>0</v>
      </c>
    </row>
    <row r="295" spans="1:9">
      <c r="A295" t="s">
        <v>313</v>
      </c>
      <c r="B295" t="s">
        <v>15</v>
      </c>
      <c r="C295" t="str">
        <f t="shared" si="8"/>
        <v>B</v>
      </c>
      <c r="D295" t="s">
        <v>13</v>
      </c>
      <c r="E295" t="s">
        <v>10</v>
      </c>
      <c r="F295" t="str">
        <f t="shared" si="9"/>
        <v>Mobile</v>
      </c>
      <c r="G295">
        <v>5</v>
      </c>
      <c r="H295">
        <v>0</v>
      </c>
      <c r="I295">
        <v>0</v>
      </c>
    </row>
    <row r="296" spans="1:9">
      <c r="A296" t="s">
        <v>314</v>
      </c>
      <c r="B296" t="s">
        <v>29</v>
      </c>
      <c r="C296" t="str">
        <f t="shared" si="8"/>
        <v>B</v>
      </c>
      <c r="D296" t="s">
        <v>18</v>
      </c>
      <c r="E296" t="s">
        <v>23</v>
      </c>
      <c r="F296" t="str">
        <f t="shared" si="9"/>
        <v>Desktop</v>
      </c>
      <c r="G296">
        <v>6</v>
      </c>
      <c r="H296">
        <v>0</v>
      </c>
      <c r="I296">
        <v>0</v>
      </c>
    </row>
    <row r="297" spans="1:9">
      <c r="A297" t="s">
        <v>315</v>
      </c>
      <c r="B297" t="s">
        <v>15</v>
      </c>
      <c r="C297" t="str">
        <f t="shared" si="8"/>
        <v>B</v>
      </c>
      <c r="D297" t="s">
        <v>13</v>
      </c>
      <c r="E297" t="s">
        <v>10</v>
      </c>
      <c r="F297" t="str">
        <f t="shared" si="9"/>
        <v>Mobile</v>
      </c>
      <c r="G297">
        <v>3</v>
      </c>
      <c r="H297">
        <v>0</v>
      </c>
      <c r="I297">
        <v>0</v>
      </c>
    </row>
    <row r="298" spans="1:9">
      <c r="A298" t="s">
        <v>316</v>
      </c>
      <c r="B298" t="s">
        <v>8</v>
      </c>
      <c r="C298" t="str">
        <f t="shared" si="8"/>
        <v>A</v>
      </c>
      <c r="D298" t="s">
        <v>20</v>
      </c>
      <c r="E298" t="s">
        <v>10</v>
      </c>
      <c r="F298" t="str">
        <f t="shared" si="9"/>
        <v>Mobile</v>
      </c>
      <c r="G298">
        <v>5</v>
      </c>
      <c r="H298">
        <v>0</v>
      </c>
      <c r="I298">
        <v>0</v>
      </c>
    </row>
    <row r="299" spans="1:9">
      <c r="A299" t="s">
        <v>317</v>
      </c>
      <c r="B299" t="s">
        <v>15</v>
      </c>
      <c r="C299" t="str">
        <f t="shared" si="8"/>
        <v>B</v>
      </c>
      <c r="D299" t="s">
        <v>13</v>
      </c>
      <c r="E299" t="s">
        <v>16</v>
      </c>
      <c r="F299" t="str">
        <f t="shared" si="9"/>
        <v>Mobile</v>
      </c>
      <c r="G299">
        <v>10</v>
      </c>
      <c r="H299">
        <v>0</v>
      </c>
      <c r="I299">
        <v>0</v>
      </c>
    </row>
    <row r="300" spans="1:9">
      <c r="A300" t="s">
        <v>318</v>
      </c>
      <c r="B300" t="s">
        <v>8</v>
      </c>
      <c r="C300" t="str">
        <f t="shared" si="8"/>
        <v>A</v>
      </c>
      <c r="D300" t="s">
        <v>13</v>
      </c>
      <c r="E300" t="s">
        <v>16</v>
      </c>
      <c r="F300" t="str">
        <f t="shared" si="9"/>
        <v>Mobile</v>
      </c>
      <c r="G300">
        <v>5</v>
      </c>
      <c r="H300">
        <v>0</v>
      </c>
      <c r="I300">
        <v>0</v>
      </c>
    </row>
    <row r="301" spans="1:9">
      <c r="A301" t="s">
        <v>319</v>
      </c>
      <c r="B301" t="s">
        <v>8</v>
      </c>
      <c r="C301" t="str">
        <f t="shared" si="8"/>
        <v>A</v>
      </c>
      <c r="D301" t="s">
        <v>20</v>
      </c>
      <c r="E301" t="s">
        <v>10</v>
      </c>
      <c r="F301" t="str">
        <f t="shared" si="9"/>
        <v>Mobile</v>
      </c>
      <c r="G301">
        <v>4</v>
      </c>
      <c r="H301">
        <v>0</v>
      </c>
      <c r="I301">
        <v>0</v>
      </c>
    </row>
    <row r="302" spans="1:9">
      <c r="A302" t="s">
        <v>320</v>
      </c>
      <c r="B302" t="s">
        <v>8</v>
      </c>
      <c r="C302" t="str">
        <f t="shared" si="8"/>
        <v>A</v>
      </c>
      <c r="D302" t="s">
        <v>13</v>
      </c>
      <c r="E302" t="s">
        <v>23</v>
      </c>
      <c r="F302" t="str">
        <f t="shared" si="9"/>
        <v>Desktop</v>
      </c>
      <c r="G302">
        <v>6</v>
      </c>
      <c r="H302">
        <v>0</v>
      </c>
      <c r="I302">
        <v>0</v>
      </c>
    </row>
    <row r="303" spans="1:9">
      <c r="A303" t="s">
        <v>321</v>
      </c>
      <c r="B303" t="s">
        <v>8</v>
      </c>
      <c r="C303" t="str">
        <f t="shared" si="8"/>
        <v>A</v>
      </c>
      <c r="D303" t="s">
        <v>13</v>
      </c>
      <c r="E303" t="s">
        <v>33</v>
      </c>
      <c r="F303" t="str">
        <f t="shared" si="9"/>
        <v>Desktop</v>
      </c>
      <c r="G303">
        <v>3</v>
      </c>
      <c r="H303">
        <v>0</v>
      </c>
      <c r="I303">
        <v>0</v>
      </c>
    </row>
    <row r="304" spans="1:9">
      <c r="A304" t="s">
        <v>322</v>
      </c>
      <c r="B304" t="s">
        <v>29</v>
      </c>
      <c r="C304" t="str">
        <f t="shared" si="8"/>
        <v>B</v>
      </c>
      <c r="D304" t="s">
        <v>20</v>
      </c>
      <c r="E304" t="s">
        <v>33</v>
      </c>
      <c r="F304" t="str">
        <f t="shared" si="9"/>
        <v>Desktop</v>
      </c>
      <c r="G304">
        <v>7</v>
      </c>
      <c r="H304">
        <v>0</v>
      </c>
      <c r="I304">
        <v>0</v>
      </c>
    </row>
    <row r="305" spans="1:9">
      <c r="A305" t="s">
        <v>323</v>
      </c>
      <c r="B305" t="s">
        <v>15</v>
      </c>
      <c r="C305" t="str">
        <f t="shared" si="8"/>
        <v>B</v>
      </c>
      <c r="D305" t="s">
        <v>13</v>
      </c>
      <c r="E305" t="s">
        <v>10</v>
      </c>
      <c r="F305" t="str">
        <f t="shared" si="9"/>
        <v>Mobile</v>
      </c>
      <c r="G305">
        <v>4</v>
      </c>
      <c r="H305">
        <v>0</v>
      </c>
      <c r="I305">
        <v>0</v>
      </c>
    </row>
    <row r="306" spans="1:9">
      <c r="A306" t="s">
        <v>324</v>
      </c>
      <c r="B306" t="s">
        <v>15</v>
      </c>
      <c r="C306" t="str">
        <f t="shared" si="8"/>
        <v>B</v>
      </c>
      <c r="D306" t="s">
        <v>9</v>
      </c>
      <c r="E306" t="s">
        <v>10</v>
      </c>
      <c r="F306" t="str">
        <f t="shared" si="9"/>
        <v>Mobile</v>
      </c>
      <c r="G306">
        <v>7</v>
      </c>
      <c r="H306">
        <v>0</v>
      </c>
      <c r="I306">
        <v>0</v>
      </c>
    </row>
    <row r="307" spans="1:9">
      <c r="A307" t="s">
        <v>325</v>
      </c>
      <c r="B307" t="s">
        <v>8</v>
      </c>
      <c r="C307" t="str">
        <f t="shared" si="8"/>
        <v>A</v>
      </c>
      <c r="D307" t="s">
        <v>13</v>
      </c>
      <c r="E307" t="s">
        <v>10</v>
      </c>
      <c r="F307" t="str">
        <f t="shared" si="9"/>
        <v>Mobile</v>
      </c>
      <c r="G307">
        <v>3</v>
      </c>
      <c r="H307">
        <v>0</v>
      </c>
      <c r="I307">
        <v>0</v>
      </c>
    </row>
    <row r="308" spans="1:9">
      <c r="A308" t="s">
        <v>326</v>
      </c>
      <c r="B308" t="s">
        <v>8</v>
      </c>
      <c r="C308" t="str">
        <f t="shared" si="8"/>
        <v>A</v>
      </c>
      <c r="D308" t="s">
        <v>20</v>
      </c>
      <c r="E308" t="s">
        <v>33</v>
      </c>
      <c r="F308" t="str">
        <f t="shared" si="9"/>
        <v>Desktop</v>
      </c>
      <c r="G308">
        <v>6</v>
      </c>
      <c r="H308">
        <v>1</v>
      </c>
      <c r="I308">
        <v>1495.55</v>
      </c>
    </row>
    <row r="309" spans="1:9">
      <c r="A309" t="s">
        <v>327</v>
      </c>
      <c r="B309" t="s">
        <v>8</v>
      </c>
      <c r="C309" t="str">
        <f t="shared" si="8"/>
        <v>A</v>
      </c>
      <c r="D309" t="s">
        <v>20</v>
      </c>
      <c r="E309" t="s">
        <v>10</v>
      </c>
      <c r="F309" t="str">
        <f t="shared" si="9"/>
        <v>Mobile</v>
      </c>
      <c r="G309">
        <v>6</v>
      </c>
      <c r="H309">
        <v>0</v>
      </c>
      <c r="I309">
        <v>0</v>
      </c>
    </row>
    <row r="310" spans="1:9">
      <c r="A310" t="s">
        <v>328</v>
      </c>
      <c r="B310" t="s">
        <v>8</v>
      </c>
      <c r="C310" t="str">
        <f t="shared" si="8"/>
        <v>A</v>
      </c>
      <c r="D310" t="s">
        <v>20</v>
      </c>
      <c r="E310" t="s">
        <v>23</v>
      </c>
      <c r="F310" t="str">
        <f t="shared" si="9"/>
        <v>Desktop</v>
      </c>
      <c r="G310">
        <v>4</v>
      </c>
      <c r="H310">
        <v>0</v>
      </c>
      <c r="I310">
        <v>0</v>
      </c>
    </row>
    <row r="311" spans="1:9">
      <c r="A311" t="s">
        <v>329</v>
      </c>
      <c r="B311" t="s">
        <v>15</v>
      </c>
      <c r="C311" t="str">
        <f t="shared" si="8"/>
        <v>B</v>
      </c>
      <c r="D311" t="s">
        <v>18</v>
      </c>
      <c r="E311" t="s">
        <v>10</v>
      </c>
      <c r="F311" t="str">
        <f t="shared" si="9"/>
        <v>Mobile</v>
      </c>
      <c r="G311">
        <v>8</v>
      </c>
      <c r="H311">
        <v>1</v>
      </c>
      <c r="I311">
        <v>1868.82</v>
      </c>
    </row>
    <row r="312" spans="1:9">
      <c r="A312" t="s">
        <v>330</v>
      </c>
      <c r="B312" t="s">
        <v>15</v>
      </c>
      <c r="C312" t="str">
        <f t="shared" si="8"/>
        <v>B</v>
      </c>
      <c r="D312" t="s">
        <v>20</v>
      </c>
      <c r="E312" t="s">
        <v>10</v>
      </c>
      <c r="F312" t="str">
        <f t="shared" si="9"/>
        <v>Mobile</v>
      </c>
      <c r="G312">
        <v>9</v>
      </c>
      <c r="H312">
        <v>1</v>
      </c>
      <c r="I312">
        <v>1452.29</v>
      </c>
    </row>
    <row r="313" spans="1:9">
      <c r="A313" t="s">
        <v>331</v>
      </c>
      <c r="B313" t="s">
        <v>15</v>
      </c>
      <c r="C313" t="str">
        <f t="shared" si="8"/>
        <v>B</v>
      </c>
      <c r="D313" t="s">
        <v>13</v>
      </c>
      <c r="E313" t="s">
        <v>10</v>
      </c>
      <c r="F313" t="str">
        <f t="shared" si="9"/>
        <v>Mobile</v>
      </c>
      <c r="G313">
        <v>1</v>
      </c>
      <c r="H313">
        <v>0</v>
      </c>
      <c r="I313">
        <v>0</v>
      </c>
    </row>
    <row r="314" spans="1:9">
      <c r="A314" t="s">
        <v>332</v>
      </c>
      <c r="B314" t="s">
        <v>8</v>
      </c>
      <c r="C314" t="str">
        <f t="shared" si="8"/>
        <v>A</v>
      </c>
      <c r="D314" t="s">
        <v>20</v>
      </c>
      <c r="E314" t="s">
        <v>83</v>
      </c>
      <c r="F314" t="str">
        <f t="shared" si="9"/>
        <v>Tablet</v>
      </c>
      <c r="G314">
        <v>6</v>
      </c>
      <c r="H314">
        <v>0</v>
      </c>
      <c r="I314">
        <v>0</v>
      </c>
    </row>
    <row r="315" spans="1:9">
      <c r="A315" t="s">
        <v>333</v>
      </c>
      <c r="B315" t="s">
        <v>12</v>
      </c>
      <c r="C315" t="str">
        <f t="shared" si="8"/>
        <v>A</v>
      </c>
      <c r="D315" t="s">
        <v>20</v>
      </c>
      <c r="E315" t="s">
        <v>10</v>
      </c>
      <c r="F315" t="str">
        <f t="shared" si="9"/>
        <v>Mobile</v>
      </c>
      <c r="G315">
        <v>4</v>
      </c>
      <c r="H315">
        <v>0</v>
      </c>
      <c r="I315">
        <v>0</v>
      </c>
    </row>
    <row r="316" spans="1:9">
      <c r="A316" t="s">
        <v>334</v>
      </c>
      <c r="B316" t="s">
        <v>15</v>
      </c>
      <c r="C316" t="str">
        <f t="shared" si="8"/>
        <v>B</v>
      </c>
      <c r="D316" t="s">
        <v>9</v>
      </c>
      <c r="E316" t="s">
        <v>23</v>
      </c>
      <c r="F316" t="str">
        <f t="shared" si="9"/>
        <v>Desktop</v>
      </c>
      <c r="G316">
        <v>9</v>
      </c>
      <c r="H316">
        <v>0</v>
      </c>
      <c r="I316">
        <v>0</v>
      </c>
    </row>
    <row r="317" spans="1:9">
      <c r="A317" t="s">
        <v>335</v>
      </c>
      <c r="B317" t="s">
        <v>15</v>
      </c>
      <c r="C317" t="str">
        <f t="shared" si="8"/>
        <v>B</v>
      </c>
      <c r="D317" t="s">
        <v>13</v>
      </c>
      <c r="E317" t="s">
        <v>10</v>
      </c>
      <c r="F317" t="str">
        <f t="shared" si="9"/>
        <v>Mobile</v>
      </c>
      <c r="G317">
        <v>6</v>
      </c>
      <c r="H317">
        <v>0</v>
      </c>
      <c r="I317">
        <v>0</v>
      </c>
    </row>
    <row r="318" spans="1:9">
      <c r="A318" t="s">
        <v>336</v>
      </c>
      <c r="B318" t="s">
        <v>15</v>
      </c>
      <c r="C318" t="str">
        <f t="shared" si="8"/>
        <v>B</v>
      </c>
      <c r="D318" t="s">
        <v>20</v>
      </c>
      <c r="E318" t="s">
        <v>10</v>
      </c>
      <c r="F318" t="str">
        <f t="shared" si="9"/>
        <v>Mobile</v>
      </c>
      <c r="G318">
        <v>4</v>
      </c>
      <c r="H318">
        <v>0</v>
      </c>
      <c r="I318">
        <v>0</v>
      </c>
    </row>
    <row r="319" spans="1:9">
      <c r="A319" t="s">
        <v>337</v>
      </c>
      <c r="B319" t="s">
        <v>8</v>
      </c>
      <c r="C319" t="str">
        <f t="shared" si="8"/>
        <v>A</v>
      </c>
      <c r="D319" t="s">
        <v>13</v>
      </c>
      <c r="E319" t="s">
        <v>10</v>
      </c>
      <c r="F319" t="str">
        <f t="shared" si="9"/>
        <v>Mobile</v>
      </c>
      <c r="G319">
        <v>6</v>
      </c>
      <c r="H319">
        <v>0</v>
      </c>
      <c r="I319">
        <v>0</v>
      </c>
    </row>
    <row r="320" spans="1:9">
      <c r="A320" t="s">
        <v>338</v>
      </c>
      <c r="B320" t="s">
        <v>8</v>
      </c>
      <c r="C320" t="str">
        <f t="shared" si="8"/>
        <v>A</v>
      </c>
      <c r="D320" t="s">
        <v>20</v>
      </c>
      <c r="E320" t="s">
        <v>10</v>
      </c>
      <c r="F320" t="str">
        <f t="shared" si="9"/>
        <v>Mobile</v>
      </c>
      <c r="G320">
        <v>3</v>
      </c>
      <c r="H320">
        <v>0</v>
      </c>
      <c r="I320">
        <v>0</v>
      </c>
    </row>
    <row r="321" spans="1:9">
      <c r="A321" t="s">
        <v>339</v>
      </c>
      <c r="B321" t="s">
        <v>8</v>
      </c>
      <c r="C321" t="str">
        <f t="shared" si="8"/>
        <v>A</v>
      </c>
      <c r="D321" t="s">
        <v>13</v>
      </c>
      <c r="E321" t="s">
        <v>10</v>
      </c>
      <c r="F321" t="str">
        <f t="shared" si="9"/>
        <v>Mobile</v>
      </c>
      <c r="G321">
        <v>6</v>
      </c>
      <c r="H321">
        <v>0</v>
      </c>
      <c r="I321">
        <v>0</v>
      </c>
    </row>
    <row r="322" spans="1:9">
      <c r="A322" t="s">
        <v>340</v>
      </c>
      <c r="B322" t="s">
        <v>15</v>
      </c>
      <c r="C322" t="str">
        <f t="shared" ref="C322:C385" si="10">IF(OR(B322="control", B322="A"), "A", "B")</f>
        <v>B</v>
      </c>
      <c r="D322" t="s">
        <v>13</v>
      </c>
      <c r="E322" t="s">
        <v>10</v>
      </c>
      <c r="F322" t="str">
        <f t="shared" ref="F322:F385" si="11">PROPER(E322)</f>
        <v>Mobile</v>
      </c>
      <c r="G322">
        <v>10</v>
      </c>
      <c r="H322">
        <v>0</v>
      </c>
      <c r="I322">
        <v>0</v>
      </c>
    </row>
    <row r="323" spans="1:9">
      <c r="A323" t="s">
        <v>341</v>
      </c>
      <c r="B323" t="s">
        <v>8</v>
      </c>
      <c r="C323" t="str">
        <f t="shared" si="10"/>
        <v>A</v>
      </c>
      <c r="D323" t="s">
        <v>20</v>
      </c>
      <c r="E323" t="s">
        <v>10</v>
      </c>
      <c r="F323" t="str">
        <f t="shared" si="11"/>
        <v>Mobile</v>
      </c>
      <c r="G323">
        <v>8</v>
      </c>
      <c r="H323">
        <v>0</v>
      </c>
      <c r="I323">
        <v>0</v>
      </c>
    </row>
    <row r="324" spans="1:9">
      <c r="A324" t="s">
        <v>342</v>
      </c>
      <c r="B324" t="s">
        <v>8</v>
      </c>
      <c r="C324" t="str">
        <f t="shared" si="10"/>
        <v>A</v>
      </c>
      <c r="D324" t="s">
        <v>20</v>
      </c>
      <c r="E324" t="s">
        <v>10</v>
      </c>
      <c r="F324" t="str">
        <f t="shared" si="11"/>
        <v>Mobile</v>
      </c>
      <c r="G324">
        <v>7</v>
      </c>
      <c r="H324">
        <v>0</v>
      </c>
      <c r="I324">
        <v>0</v>
      </c>
    </row>
    <row r="325" spans="1:9">
      <c r="A325" t="s">
        <v>343</v>
      </c>
      <c r="B325" t="s">
        <v>8</v>
      </c>
      <c r="C325" t="str">
        <f t="shared" si="10"/>
        <v>A</v>
      </c>
      <c r="D325" t="s">
        <v>20</v>
      </c>
      <c r="E325" t="s">
        <v>33</v>
      </c>
      <c r="F325" t="str">
        <f t="shared" si="11"/>
        <v>Desktop</v>
      </c>
      <c r="G325">
        <v>2</v>
      </c>
      <c r="H325">
        <v>0</v>
      </c>
      <c r="I325">
        <v>0</v>
      </c>
    </row>
    <row r="326" spans="1:9">
      <c r="A326" t="s">
        <v>344</v>
      </c>
      <c r="B326" t="s">
        <v>8</v>
      </c>
      <c r="C326" t="str">
        <f t="shared" si="10"/>
        <v>A</v>
      </c>
      <c r="D326" t="s">
        <v>9</v>
      </c>
      <c r="E326" t="s">
        <v>33</v>
      </c>
      <c r="F326" t="str">
        <f t="shared" si="11"/>
        <v>Desktop</v>
      </c>
      <c r="G326">
        <v>2</v>
      </c>
      <c r="H326">
        <v>0</v>
      </c>
      <c r="I326">
        <v>0</v>
      </c>
    </row>
    <row r="327" spans="1:9">
      <c r="A327" t="s">
        <v>345</v>
      </c>
      <c r="B327" t="s">
        <v>15</v>
      </c>
      <c r="C327" t="str">
        <f t="shared" si="10"/>
        <v>B</v>
      </c>
      <c r="D327" t="s">
        <v>18</v>
      </c>
      <c r="E327" t="s">
        <v>10</v>
      </c>
      <c r="F327" t="str">
        <f t="shared" si="11"/>
        <v>Mobile</v>
      </c>
      <c r="G327">
        <v>9</v>
      </c>
      <c r="H327">
        <v>0</v>
      </c>
      <c r="I327">
        <v>0</v>
      </c>
    </row>
    <row r="328" spans="1:9">
      <c r="A328" t="s">
        <v>346</v>
      </c>
      <c r="B328" t="s">
        <v>15</v>
      </c>
      <c r="C328" t="str">
        <f t="shared" si="10"/>
        <v>B</v>
      </c>
      <c r="D328" t="s">
        <v>20</v>
      </c>
      <c r="E328" t="s">
        <v>23</v>
      </c>
      <c r="F328" t="str">
        <f t="shared" si="11"/>
        <v>Desktop</v>
      </c>
      <c r="G328">
        <v>9</v>
      </c>
      <c r="H328">
        <v>0</v>
      </c>
      <c r="I328">
        <v>0</v>
      </c>
    </row>
    <row r="329" spans="1:9">
      <c r="A329" t="s">
        <v>347</v>
      </c>
      <c r="B329" t="s">
        <v>15</v>
      </c>
      <c r="C329" t="str">
        <f t="shared" si="10"/>
        <v>B</v>
      </c>
      <c r="D329" t="s">
        <v>13</v>
      </c>
      <c r="E329" t="s">
        <v>33</v>
      </c>
      <c r="F329" t="str">
        <f t="shared" si="11"/>
        <v>Desktop</v>
      </c>
      <c r="G329">
        <v>10</v>
      </c>
      <c r="H329">
        <v>0</v>
      </c>
      <c r="I329">
        <v>0</v>
      </c>
    </row>
    <row r="330" spans="1:9">
      <c r="A330" t="s">
        <v>348</v>
      </c>
      <c r="B330" t="s">
        <v>8</v>
      </c>
      <c r="C330" t="str">
        <f t="shared" si="10"/>
        <v>A</v>
      </c>
      <c r="D330" t="s">
        <v>20</v>
      </c>
      <c r="E330" t="s">
        <v>10</v>
      </c>
      <c r="F330" t="str">
        <f t="shared" si="11"/>
        <v>Mobile</v>
      </c>
      <c r="G330">
        <v>10</v>
      </c>
      <c r="H330">
        <v>0</v>
      </c>
      <c r="I330">
        <v>0</v>
      </c>
    </row>
    <row r="331" spans="1:9">
      <c r="A331" t="s">
        <v>349</v>
      </c>
      <c r="B331" t="s">
        <v>15</v>
      </c>
      <c r="C331" t="str">
        <f t="shared" si="10"/>
        <v>B</v>
      </c>
      <c r="D331" t="s">
        <v>20</v>
      </c>
      <c r="E331" t="s">
        <v>23</v>
      </c>
      <c r="F331" t="str">
        <f t="shared" si="11"/>
        <v>Desktop</v>
      </c>
      <c r="G331">
        <v>3</v>
      </c>
      <c r="H331">
        <v>0</v>
      </c>
      <c r="I331">
        <v>0</v>
      </c>
    </row>
    <row r="332" spans="1:9">
      <c r="A332" t="s">
        <v>350</v>
      </c>
      <c r="B332" t="s">
        <v>15</v>
      </c>
      <c r="C332" t="str">
        <f t="shared" si="10"/>
        <v>B</v>
      </c>
      <c r="D332" t="s">
        <v>13</v>
      </c>
      <c r="E332" t="s">
        <v>33</v>
      </c>
      <c r="F332" t="str">
        <f t="shared" si="11"/>
        <v>Desktop</v>
      </c>
      <c r="G332">
        <v>8</v>
      </c>
      <c r="H332">
        <v>0</v>
      </c>
      <c r="I332">
        <v>0</v>
      </c>
    </row>
    <row r="333" spans="1:9">
      <c r="A333" t="s">
        <v>351</v>
      </c>
      <c r="B333" t="s">
        <v>8</v>
      </c>
      <c r="C333" t="str">
        <f t="shared" si="10"/>
        <v>A</v>
      </c>
      <c r="D333" t="s">
        <v>9</v>
      </c>
      <c r="E333" t="s">
        <v>10</v>
      </c>
      <c r="F333" t="str">
        <f t="shared" si="11"/>
        <v>Mobile</v>
      </c>
      <c r="G333">
        <v>8</v>
      </c>
      <c r="H333">
        <v>0</v>
      </c>
      <c r="I333">
        <v>0</v>
      </c>
    </row>
    <row r="334" spans="1:9">
      <c r="A334" t="s">
        <v>352</v>
      </c>
      <c r="B334" t="s">
        <v>8</v>
      </c>
      <c r="C334" t="str">
        <f t="shared" si="10"/>
        <v>A</v>
      </c>
      <c r="D334" t="s">
        <v>18</v>
      </c>
      <c r="E334" t="s">
        <v>10</v>
      </c>
      <c r="F334" t="str">
        <f t="shared" si="11"/>
        <v>Mobile</v>
      </c>
      <c r="G334">
        <v>8</v>
      </c>
      <c r="H334">
        <v>0</v>
      </c>
      <c r="I334">
        <v>0</v>
      </c>
    </row>
    <row r="335" spans="1:9">
      <c r="A335" t="s">
        <v>353</v>
      </c>
      <c r="B335" t="s">
        <v>8</v>
      </c>
      <c r="C335" t="str">
        <f t="shared" si="10"/>
        <v>A</v>
      </c>
      <c r="D335" t="s">
        <v>13</v>
      </c>
      <c r="E335" t="s">
        <v>33</v>
      </c>
      <c r="F335" t="str">
        <f t="shared" si="11"/>
        <v>Desktop</v>
      </c>
      <c r="G335">
        <v>5</v>
      </c>
      <c r="H335">
        <v>0</v>
      </c>
      <c r="I335">
        <v>0</v>
      </c>
    </row>
    <row r="336" spans="1:9">
      <c r="A336" t="s">
        <v>354</v>
      </c>
      <c r="B336" t="s">
        <v>15</v>
      </c>
      <c r="C336" t="str">
        <f t="shared" si="10"/>
        <v>B</v>
      </c>
      <c r="D336" t="s">
        <v>20</v>
      </c>
      <c r="E336" t="s">
        <v>23</v>
      </c>
      <c r="F336" t="str">
        <f t="shared" si="11"/>
        <v>Desktop</v>
      </c>
      <c r="G336">
        <v>4</v>
      </c>
      <c r="H336">
        <v>1</v>
      </c>
      <c r="I336">
        <v>1331.5</v>
      </c>
    </row>
    <row r="337" spans="1:9">
      <c r="A337" t="s">
        <v>355</v>
      </c>
      <c r="B337" t="s">
        <v>15</v>
      </c>
      <c r="C337" t="str">
        <f t="shared" si="10"/>
        <v>B</v>
      </c>
      <c r="D337" t="s">
        <v>9</v>
      </c>
      <c r="E337" t="s">
        <v>10</v>
      </c>
      <c r="F337" t="str">
        <f t="shared" si="11"/>
        <v>Mobile</v>
      </c>
      <c r="G337">
        <v>7</v>
      </c>
      <c r="H337">
        <v>0</v>
      </c>
      <c r="I337">
        <v>0</v>
      </c>
    </row>
    <row r="338" spans="1:9">
      <c r="A338" t="s">
        <v>356</v>
      </c>
      <c r="B338" t="s">
        <v>8</v>
      </c>
      <c r="C338" t="str">
        <f t="shared" si="10"/>
        <v>A</v>
      </c>
      <c r="D338" t="s">
        <v>20</v>
      </c>
      <c r="E338" t="s">
        <v>10</v>
      </c>
      <c r="F338" t="str">
        <f t="shared" si="11"/>
        <v>Mobile</v>
      </c>
      <c r="G338">
        <v>6</v>
      </c>
      <c r="H338">
        <v>0</v>
      </c>
      <c r="I338">
        <v>0</v>
      </c>
    </row>
    <row r="339" spans="1:9">
      <c r="A339" t="s">
        <v>357</v>
      </c>
      <c r="B339" t="s">
        <v>8</v>
      </c>
      <c r="C339" t="str">
        <f t="shared" si="10"/>
        <v>A</v>
      </c>
      <c r="D339" t="s">
        <v>13</v>
      </c>
      <c r="E339" t="s">
        <v>10</v>
      </c>
      <c r="F339" t="str">
        <f t="shared" si="11"/>
        <v>Mobile</v>
      </c>
      <c r="G339">
        <v>7</v>
      </c>
      <c r="H339">
        <v>0</v>
      </c>
      <c r="I339">
        <v>0</v>
      </c>
    </row>
    <row r="340" spans="1:9">
      <c r="A340" t="s">
        <v>358</v>
      </c>
      <c r="B340" t="s">
        <v>15</v>
      </c>
      <c r="C340" t="str">
        <f t="shared" si="10"/>
        <v>B</v>
      </c>
      <c r="D340" t="s">
        <v>20</v>
      </c>
      <c r="E340" t="s">
        <v>23</v>
      </c>
      <c r="F340" t="str">
        <f t="shared" si="11"/>
        <v>Desktop</v>
      </c>
      <c r="G340">
        <v>2</v>
      </c>
      <c r="H340">
        <v>0</v>
      </c>
      <c r="I340">
        <v>0</v>
      </c>
    </row>
    <row r="341" spans="1:9">
      <c r="A341" t="s">
        <v>359</v>
      </c>
      <c r="B341" t="s">
        <v>15</v>
      </c>
      <c r="C341" t="str">
        <f t="shared" si="10"/>
        <v>B</v>
      </c>
      <c r="D341" t="s">
        <v>13</v>
      </c>
      <c r="E341" t="s">
        <v>23</v>
      </c>
      <c r="F341" t="str">
        <f t="shared" si="11"/>
        <v>Desktop</v>
      </c>
      <c r="G341">
        <v>4</v>
      </c>
      <c r="H341">
        <v>0</v>
      </c>
      <c r="I341">
        <v>0</v>
      </c>
    </row>
    <row r="342" spans="1:9">
      <c r="A342" t="s">
        <v>360</v>
      </c>
      <c r="B342" t="s">
        <v>15</v>
      </c>
      <c r="C342" t="str">
        <f t="shared" si="10"/>
        <v>B</v>
      </c>
      <c r="D342" t="s">
        <v>20</v>
      </c>
      <c r="E342" t="s">
        <v>83</v>
      </c>
      <c r="F342" t="str">
        <f t="shared" si="11"/>
        <v>Tablet</v>
      </c>
      <c r="G342">
        <v>2</v>
      </c>
      <c r="H342">
        <v>1</v>
      </c>
      <c r="I342">
        <v>1297.8800000000001</v>
      </c>
    </row>
    <row r="343" spans="1:9">
      <c r="A343" t="s">
        <v>361</v>
      </c>
      <c r="B343" t="s">
        <v>15</v>
      </c>
      <c r="C343" t="str">
        <f t="shared" si="10"/>
        <v>B</v>
      </c>
      <c r="D343" t="s">
        <v>20</v>
      </c>
      <c r="E343" t="s">
        <v>10</v>
      </c>
      <c r="F343" t="str">
        <f t="shared" si="11"/>
        <v>Mobile</v>
      </c>
      <c r="G343">
        <v>6</v>
      </c>
      <c r="H343">
        <v>0</v>
      </c>
      <c r="I343">
        <v>0</v>
      </c>
    </row>
    <row r="344" spans="1:9">
      <c r="A344" t="s">
        <v>362</v>
      </c>
      <c r="B344" t="s">
        <v>8</v>
      </c>
      <c r="C344" t="str">
        <f t="shared" si="10"/>
        <v>A</v>
      </c>
      <c r="D344" t="s">
        <v>9</v>
      </c>
      <c r="E344" t="s">
        <v>23</v>
      </c>
      <c r="F344" t="str">
        <f t="shared" si="11"/>
        <v>Desktop</v>
      </c>
      <c r="G344">
        <v>4</v>
      </c>
      <c r="H344">
        <v>0</v>
      </c>
      <c r="I344">
        <v>0</v>
      </c>
    </row>
    <row r="345" spans="1:9">
      <c r="A345" t="s">
        <v>363</v>
      </c>
      <c r="B345" t="s">
        <v>8</v>
      </c>
      <c r="C345" t="str">
        <f t="shared" si="10"/>
        <v>A</v>
      </c>
      <c r="D345" t="s">
        <v>20</v>
      </c>
      <c r="E345" t="s">
        <v>23</v>
      </c>
      <c r="F345" t="str">
        <f t="shared" si="11"/>
        <v>Desktop</v>
      </c>
      <c r="G345">
        <v>8</v>
      </c>
      <c r="H345">
        <v>1</v>
      </c>
      <c r="I345">
        <v>1186.3900000000001</v>
      </c>
    </row>
    <row r="346" spans="1:9">
      <c r="A346" t="s">
        <v>364</v>
      </c>
      <c r="B346" t="s">
        <v>15</v>
      </c>
      <c r="C346" t="str">
        <f t="shared" si="10"/>
        <v>B</v>
      </c>
      <c r="D346" t="s">
        <v>13</v>
      </c>
      <c r="E346" t="s">
        <v>10</v>
      </c>
      <c r="F346" t="str">
        <f t="shared" si="11"/>
        <v>Mobile</v>
      </c>
      <c r="G346">
        <v>1</v>
      </c>
      <c r="H346">
        <v>0</v>
      </c>
      <c r="I346">
        <v>0</v>
      </c>
    </row>
    <row r="347" spans="1:9">
      <c r="A347" t="s">
        <v>365</v>
      </c>
      <c r="B347" t="s">
        <v>8</v>
      </c>
      <c r="C347" t="str">
        <f t="shared" si="10"/>
        <v>A</v>
      </c>
      <c r="D347" t="s">
        <v>20</v>
      </c>
      <c r="E347" t="s">
        <v>10</v>
      </c>
      <c r="F347" t="str">
        <f t="shared" si="11"/>
        <v>Mobile</v>
      </c>
      <c r="G347">
        <v>7</v>
      </c>
      <c r="H347">
        <v>0</v>
      </c>
      <c r="I347">
        <v>0</v>
      </c>
    </row>
    <row r="348" spans="1:9">
      <c r="A348" t="s">
        <v>366</v>
      </c>
      <c r="B348" t="s">
        <v>15</v>
      </c>
      <c r="C348" t="str">
        <f t="shared" si="10"/>
        <v>B</v>
      </c>
      <c r="D348" t="s">
        <v>20</v>
      </c>
      <c r="E348" t="s">
        <v>83</v>
      </c>
      <c r="F348" t="str">
        <f t="shared" si="11"/>
        <v>Tablet</v>
      </c>
      <c r="G348">
        <v>2</v>
      </c>
      <c r="H348">
        <v>0</v>
      </c>
      <c r="I348">
        <v>0</v>
      </c>
    </row>
    <row r="349" spans="1:9">
      <c r="A349" t="s">
        <v>367</v>
      </c>
      <c r="B349" t="s">
        <v>12</v>
      </c>
      <c r="C349" t="str">
        <f t="shared" si="10"/>
        <v>A</v>
      </c>
      <c r="D349" t="s">
        <v>20</v>
      </c>
      <c r="E349" t="s">
        <v>16</v>
      </c>
      <c r="F349" t="str">
        <f t="shared" si="11"/>
        <v>Mobile</v>
      </c>
      <c r="G349">
        <v>6</v>
      </c>
      <c r="H349">
        <v>0</v>
      </c>
      <c r="I349">
        <v>0</v>
      </c>
    </row>
    <row r="350" spans="1:9">
      <c r="A350" t="s">
        <v>368</v>
      </c>
      <c r="B350" t="s">
        <v>15</v>
      </c>
      <c r="C350" t="str">
        <f t="shared" si="10"/>
        <v>B</v>
      </c>
      <c r="D350" t="s">
        <v>20</v>
      </c>
      <c r="E350" t="s">
        <v>10</v>
      </c>
      <c r="F350" t="str">
        <f t="shared" si="11"/>
        <v>Mobile</v>
      </c>
      <c r="G350">
        <v>6</v>
      </c>
      <c r="H350">
        <v>0</v>
      </c>
      <c r="I350">
        <v>0</v>
      </c>
    </row>
    <row r="351" spans="1:9">
      <c r="A351" t="s">
        <v>369</v>
      </c>
      <c r="B351" t="s">
        <v>8</v>
      </c>
      <c r="C351" t="str">
        <f t="shared" si="10"/>
        <v>A</v>
      </c>
      <c r="D351" t="s">
        <v>9</v>
      </c>
      <c r="E351" t="s">
        <v>23</v>
      </c>
      <c r="F351" t="str">
        <f t="shared" si="11"/>
        <v>Desktop</v>
      </c>
      <c r="G351">
        <v>8</v>
      </c>
      <c r="H351">
        <v>0</v>
      </c>
      <c r="I351">
        <v>0</v>
      </c>
    </row>
    <row r="352" spans="1:9">
      <c r="A352" t="s">
        <v>370</v>
      </c>
      <c r="B352" t="s">
        <v>15</v>
      </c>
      <c r="C352" t="str">
        <f t="shared" si="10"/>
        <v>B</v>
      </c>
      <c r="D352" t="s">
        <v>20</v>
      </c>
      <c r="E352" t="s">
        <v>10</v>
      </c>
      <c r="F352" t="str">
        <f t="shared" si="11"/>
        <v>Mobile</v>
      </c>
      <c r="G352">
        <v>5</v>
      </c>
      <c r="H352">
        <v>0</v>
      </c>
      <c r="I352">
        <v>0</v>
      </c>
    </row>
    <row r="353" spans="1:9">
      <c r="A353" t="s">
        <v>371</v>
      </c>
      <c r="B353" t="s">
        <v>8</v>
      </c>
      <c r="C353" t="str">
        <f t="shared" si="10"/>
        <v>A</v>
      </c>
      <c r="D353" t="s">
        <v>18</v>
      </c>
      <c r="E353" t="s">
        <v>23</v>
      </c>
      <c r="F353" t="str">
        <f t="shared" si="11"/>
        <v>Desktop</v>
      </c>
      <c r="G353">
        <v>8</v>
      </c>
      <c r="H353">
        <v>0</v>
      </c>
      <c r="I353">
        <v>0</v>
      </c>
    </row>
    <row r="354" spans="1:9">
      <c r="A354" t="s">
        <v>372</v>
      </c>
      <c r="B354" t="s">
        <v>15</v>
      </c>
      <c r="C354" t="str">
        <f t="shared" si="10"/>
        <v>B</v>
      </c>
      <c r="D354" t="s">
        <v>13</v>
      </c>
      <c r="E354" t="s">
        <v>23</v>
      </c>
      <c r="F354" t="str">
        <f t="shared" si="11"/>
        <v>Desktop</v>
      </c>
      <c r="G354">
        <v>5</v>
      </c>
      <c r="H354">
        <v>0</v>
      </c>
      <c r="I354">
        <v>0</v>
      </c>
    </row>
    <row r="355" spans="1:9">
      <c r="A355" t="s">
        <v>373</v>
      </c>
      <c r="B355" t="s">
        <v>12</v>
      </c>
      <c r="C355" t="str">
        <f t="shared" si="10"/>
        <v>A</v>
      </c>
      <c r="D355" t="s">
        <v>13</v>
      </c>
      <c r="E355" t="s">
        <v>10</v>
      </c>
      <c r="F355" t="str">
        <f t="shared" si="11"/>
        <v>Mobile</v>
      </c>
      <c r="G355">
        <v>9</v>
      </c>
      <c r="H355">
        <v>0</v>
      </c>
      <c r="I355">
        <v>0</v>
      </c>
    </row>
    <row r="356" spans="1:9">
      <c r="A356" t="s">
        <v>374</v>
      </c>
      <c r="B356" t="s">
        <v>8</v>
      </c>
      <c r="C356" t="str">
        <f t="shared" si="10"/>
        <v>A</v>
      </c>
      <c r="D356" t="s">
        <v>13</v>
      </c>
      <c r="E356" t="s">
        <v>83</v>
      </c>
      <c r="F356" t="str">
        <f t="shared" si="11"/>
        <v>Tablet</v>
      </c>
      <c r="G356">
        <v>5</v>
      </c>
      <c r="H356">
        <v>0</v>
      </c>
      <c r="I356">
        <v>0</v>
      </c>
    </row>
    <row r="357" spans="1:9">
      <c r="A357" t="s">
        <v>375</v>
      </c>
      <c r="B357" t="s">
        <v>29</v>
      </c>
      <c r="C357" t="str">
        <f t="shared" si="10"/>
        <v>B</v>
      </c>
      <c r="D357" t="s">
        <v>13</v>
      </c>
      <c r="E357" t="s">
        <v>23</v>
      </c>
      <c r="F357" t="str">
        <f t="shared" si="11"/>
        <v>Desktop</v>
      </c>
      <c r="G357">
        <v>8</v>
      </c>
      <c r="H357">
        <v>0</v>
      </c>
      <c r="I357">
        <v>0</v>
      </c>
    </row>
    <row r="358" spans="1:9">
      <c r="A358" t="s">
        <v>376</v>
      </c>
      <c r="B358" t="s">
        <v>15</v>
      </c>
      <c r="C358" t="str">
        <f t="shared" si="10"/>
        <v>B</v>
      </c>
      <c r="D358" t="s">
        <v>13</v>
      </c>
      <c r="E358" t="s">
        <v>10</v>
      </c>
      <c r="F358" t="str">
        <f t="shared" si="11"/>
        <v>Mobile</v>
      </c>
      <c r="G358">
        <v>2</v>
      </c>
      <c r="H358">
        <v>0</v>
      </c>
      <c r="I358">
        <v>0</v>
      </c>
    </row>
    <row r="359" spans="1:9">
      <c r="A359" t="s">
        <v>377</v>
      </c>
      <c r="B359" t="s">
        <v>8</v>
      </c>
      <c r="C359" t="str">
        <f t="shared" si="10"/>
        <v>A</v>
      </c>
      <c r="D359" t="s">
        <v>20</v>
      </c>
      <c r="E359" t="s">
        <v>23</v>
      </c>
      <c r="F359" t="str">
        <f t="shared" si="11"/>
        <v>Desktop</v>
      </c>
      <c r="G359">
        <v>3</v>
      </c>
      <c r="H359">
        <v>0</v>
      </c>
      <c r="I359">
        <v>0</v>
      </c>
    </row>
    <row r="360" spans="1:9">
      <c r="A360" t="s">
        <v>378</v>
      </c>
      <c r="B360" t="s">
        <v>8</v>
      </c>
      <c r="C360" t="str">
        <f t="shared" si="10"/>
        <v>A</v>
      </c>
      <c r="D360" t="s">
        <v>20</v>
      </c>
      <c r="E360" t="s">
        <v>10</v>
      </c>
      <c r="F360" t="str">
        <f t="shared" si="11"/>
        <v>Mobile</v>
      </c>
      <c r="G360">
        <v>2</v>
      </c>
      <c r="H360">
        <v>0</v>
      </c>
      <c r="I360">
        <v>0</v>
      </c>
    </row>
    <row r="361" spans="1:9">
      <c r="A361" t="s">
        <v>379</v>
      </c>
      <c r="B361" t="s">
        <v>8</v>
      </c>
      <c r="C361" t="str">
        <f t="shared" si="10"/>
        <v>A</v>
      </c>
      <c r="D361" t="s">
        <v>9</v>
      </c>
      <c r="E361" t="s">
        <v>10</v>
      </c>
      <c r="F361" t="str">
        <f t="shared" si="11"/>
        <v>Mobile</v>
      </c>
      <c r="G361">
        <v>6</v>
      </c>
      <c r="H361">
        <v>1</v>
      </c>
      <c r="I361">
        <v>6462.84</v>
      </c>
    </row>
    <row r="362" spans="1:9">
      <c r="A362" t="s">
        <v>380</v>
      </c>
      <c r="B362" t="s">
        <v>8</v>
      </c>
      <c r="C362" t="str">
        <f t="shared" si="10"/>
        <v>A</v>
      </c>
      <c r="D362" t="s">
        <v>18</v>
      </c>
      <c r="E362" t="s">
        <v>10</v>
      </c>
      <c r="F362" t="str">
        <f t="shared" si="11"/>
        <v>Mobile</v>
      </c>
      <c r="G362">
        <v>9</v>
      </c>
      <c r="H362">
        <v>0</v>
      </c>
      <c r="I362">
        <v>0</v>
      </c>
    </row>
    <row r="363" spans="1:9">
      <c r="A363" t="s">
        <v>381</v>
      </c>
      <c r="B363" t="s">
        <v>8</v>
      </c>
      <c r="C363" t="str">
        <f t="shared" si="10"/>
        <v>A</v>
      </c>
      <c r="D363" t="s">
        <v>9</v>
      </c>
      <c r="E363" t="s">
        <v>10</v>
      </c>
      <c r="F363" t="str">
        <f t="shared" si="11"/>
        <v>Mobile</v>
      </c>
      <c r="G363">
        <v>5</v>
      </c>
      <c r="H363">
        <v>0</v>
      </c>
      <c r="I363">
        <v>0</v>
      </c>
    </row>
    <row r="364" spans="1:9">
      <c r="A364" t="s">
        <v>382</v>
      </c>
      <c r="B364" t="s">
        <v>15</v>
      </c>
      <c r="C364" t="str">
        <f t="shared" si="10"/>
        <v>B</v>
      </c>
      <c r="D364" t="s">
        <v>20</v>
      </c>
      <c r="E364" t="s">
        <v>23</v>
      </c>
      <c r="F364" t="str">
        <f t="shared" si="11"/>
        <v>Desktop</v>
      </c>
      <c r="G364">
        <v>1</v>
      </c>
      <c r="H364">
        <v>0</v>
      </c>
      <c r="I364">
        <v>0</v>
      </c>
    </row>
    <row r="365" spans="1:9">
      <c r="A365" t="s">
        <v>383</v>
      </c>
      <c r="B365" t="s">
        <v>8</v>
      </c>
      <c r="C365" t="str">
        <f t="shared" si="10"/>
        <v>A</v>
      </c>
      <c r="D365" t="s">
        <v>9</v>
      </c>
      <c r="E365" t="s">
        <v>10</v>
      </c>
      <c r="F365" t="str">
        <f t="shared" si="11"/>
        <v>Mobile</v>
      </c>
      <c r="G365">
        <v>11</v>
      </c>
      <c r="H365">
        <v>0</v>
      </c>
      <c r="I365">
        <v>0</v>
      </c>
    </row>
    <row r="366" spans="1:9">
      <c r="A366" t="s">
        <v>384</v>
      </c>
      <c r="B366" t="s">
        <v>8</v>
      </c>
      <c r="C366" t="str">
        <f t="shared" si="10"/>
        <v>A</v>
      </c>
      <c r="D366" t="s">
        <v>13</v>
      </c>
      <c r="E366" t="s">
        <v>23</v>
      </c>
      <c r="F366" t="str">
        <f t="shared" si="11"/>
        <v>Desktop</v>
      </c>
      <c r="G366">
        <v>3</v>
      </c>
      <c r="H366">
        <v>0</v>
      </c>
      <c r="I366">
        <v>0</v>
      </c>
    </row>
    <row r="367" spans="1:9">
      <c r="A367" t="s">
        <v>385</v>
      </c>
      <c r="B367" t="s">
        <v>15</v>
      </c>
      <c r="C367" t="str">
        <f t="shared" si="10"/>
        <v>B</v>
      </c>
      <c r="D367" t="s">
        <v>13</v>
      </c>
      <c r="E367" t="s">
        <v>23</v>
      </c>
      <c r="F367" t="str">
        <f t="shared" si="11"/>
        <v>Desktop</v>
      </c>
      <c r="G367">
        <v>11</v>
      </c>
      <c r="H367">
        <v>0</v>
      </c>
      <c r="I367">
        <v>0</v>
      </c>
    </row>
    <row r="368" spans="1:9">
      <c r="A368" t="s">
        <v>386</v>
      </c>
      <c r="B368" t="s">
        <v>8</v>
      </c>
      <c r="C368" t="str">
        <f t="shared" si="10"/>
        <v>A</v>
      </c>
      <c r="D368" t="s">
        <v>20</v>
      </c>
      <c r="E368" t="s">
        <v>10</v>
      </c>
      <c r="F368" t="str">
        <f t="shared" si="11"/>
        <v>Mobile</v>
      </c>
      <c r="G368">
        <v>5</v>
      </c>
      <c r="H368">
        <v>0</v>
      </c>
      <c r="I368">
        <v>0</v>
      </c>
    </row>
    <row r="369" spans="1:9">
      <c r="A369" t="s">
        <v>387</v>
      </c>
      <c r="B369" t="s">
        <v>15</v>
      </c>
      <c r="C369" t="str">
        <f t="shared" si="10"/>
        <v>B</v>
      </c>
      <c r="D369" t="s">
        <v>13</v>
      </c>
      <c r="E369" t="s">
        <v>23</v>
      </c>
      <c r="F369" t="str">
        <f t="shared" si="11"/>
        <v>Desktop</v>
      </c>
      <c r="G369">
        <v>5</v>
      </c>
      <c r="H369">
        <v>0</v>
      </c>
      <c r="I369">
        <v>0</v>
      </c>
    </row>
    <row r="370" spans="1:9">
      <c r="A370" t="s">
        <v>388</v>
      </c>
      <c r="B370" t="s">
        <v>8</v>
      </c>
      <c r="C370" t="str">
        <f t="shared" si="10"/>
        <v>A</v>
      </c>
      <c r="D370" t="s">
        <v>20</v>
      </c>
      <c r="E370" t="s">
        <v>10</v>
      </c>
      <c r="F370" t="str">
        <f t="shared" si="11"/>
        <v>Mobile</v>
      </c>
      <c r="G370">
        <v>4</v>
      </c>
      <c r="H370">
        <v>0</v>
      </c>
      <c r="I370">
        <v>0</v>
      </c>
    </row>
    <row r="371" spans="1:9">
      <c r="A371" t="s">
        <v>389</v>
      </c>
      <c r="B371" t="s">
        <v>8</v>
      </c>
      <c r="C371" t="str">
        <f t="shared" si="10"/>
        <v>A</v>
      </c>
      <c r="D371" t="s">
        <v>20</v>
      </c>
      <c r="E371" t="s">
        <v>10</v>
      </c>
      <c r="F371" t="str">
        <f t="shared" si="11"/>
        <v>Mobile</v>
      </c>
      <c r="G371">
        <v>10</v>
      </c>
      <c r="H371">
        <v>0</v>
      </c>
      <c r="I371">
        <v>0</v>
      </c>
    </row>
    <row r="372" spans="1:9">
      <c r="A372" t="s">
        <v>390</v>
      </c>
      <c r="B372" t="s">
        <v>15</v>
      </c>
      <c r="C372" t="str">
        <f t="shared" si="10"/>
        <v>B</v>
      </c>
      <c r="D372" t="s">
        <v>9</v>
      </c>
      <c r="E372" t="s">
        <v>10</v>
      </c>
      <c r="F372" t="str">
        <f t="shared" si="11"/>
        <v>Mobile</v>
      </c>
      <c r="G372">
        <v>5</v>
      </c>
      <c r="H372">
        <v>1</v>
      </c>
      <c r="I372">
        <v>5583.87</v>
      </c>
    </row>
    <row r="373" spans="1:9">
      <c r="A373" t="s">
        <v>391</v>
      </c>
      <c r="B373" t="s">
        <v>15</v>
      </c>
      <c r="C373" t="str">
        <f t="shared" si="10"/>
        <v>B</v>
      </c>
      <c r="D373" t="s">
        <v>20</v>
      </c>
      <c r="E373" t="s">
        <v>10</v>
      </c>
      <c r="F373" t="str">
        <f t="shared" si="11"/>
        <v>Mobile</v>
      </c>
      <c r="G373">
        <v>4</v>
      </c>
      <c r="H373">
        <v>0</v>
      </c>
      <c r="I373">
        <v>0</v>
      </c>
    </row>
    <row r="374" spans="1:9">
      <c r="A374" t="s">
        <v>392</v>
      </c>
      <c r="B374" t="s">
        <v>15</v>
      </c>
      <c r="C374" t="str">
        <f t="shared" si="10"/>
        <v>B</v>
      </c>
      <c r="D374" t="s">
        <v>20</v>
      </c>
      <c r="E374" t="s">
        <v>10</v>
      </c>
      <c r="F374" t="str">
        <f t="shared" si="11"/>
        <v>Mobile</v>
      </c>
      <c r="G374">
        <v>3</v>
      </c>
      <c r="H374">
        <v>0</v>
      </c>
      <c r="I374">
        <v>0</v>
      </c>
    </row>
    <row r="375" spans="1:9">
      <c r="A375" t="s">
        <v>393</v>
      </c>
      <c r="B375" t="s">
        <v>15</v>
      </c>
      <c r="C375" t="str">
        <f t="shared" si="10"/>
        <v>B</v>
      </c>
      <c r="D375" t="s">
        <v>20</v>
      </c>
      <c r="E375" t="s">
        <v>23</v>
      </c>
      <c r="F375" t="str">
        <f t="shared" si="11"/>
        <v>Desktop</v>
      </c>
      <c r="G375">
        <v>4</v>
      </c>
      <c r="H375">
        <v>0</v>
      </c>
      <c r="I375">
        <v>0</v>
      </c>
    </row>
    <row r="376" spans="1:9">
      <c r="A376" t="s">
        <v>394</v>
      </c>
      <c r="B376" t="s">
        <v>15</v>
      </c>
      <c r="C376" t="str">
        <f t="shared" si="10"/>
        <v>B</v>
      </c>
      <c r="D376" t="s">
        <v>18</v>
      </c>
      <c r="E376" t="s">
        <v>10</v>
      </c>
      <c r="F376" t="str">
        <f t="shared" si="11"/>
        <v>Mobile</v>
      </c>
      <c r="G376">
        <v>7</v>
      </c>
      <c r="H376">
        <v>0</v>
      </c>
      <c r="I376">
        <v>0</v>
      </c>
    </row>
    <row r="377" spans="1:9">
      <c r="A377" t="s">
        <v>395</v>
      </c>
      <c r="B377" t="s">
        <v>8</v>
      </c>
      <c r="C377" t="str">
        <f t="shared" si="10"/>
        <v>A</v>
      </c>
      <c r="D377" t="s">
        <v>13</v>
      </c>
      <c r="E377" t="s">
        <v>10</v>
      </c>
      <c r="F377" t="str">
        <f t="shared" si="11"/>
        <v>Mobile</v>
      </c>
      <c r="G377">
        <v>3</v>
      </c>
      <c r="H377">
        <v>0</v>
      </c>
      <c r="I377">
        <v>0</v>
      </c>
    </row>
    <row r="378" spans="1:9">
      <c r="A378" t="s">
        <v>396</v>
      </c>
      <c r="B378" t="s">
        <v>8</v>
      </c>
      <c r="C378" t="str">
        <f t="shared" si="10"/>
        <v>A</v>
      </c>
      <c r="D378" t="s">
        <v>20</v>
      </c>
      <c r="E378" t="s">
        <v>33</v>
      </c>
      <c r="F378" t="str">
        <f t="shared" si="11"/>
        <v>Desktop</v>
      </c>
      <c r="G378">
        <v>4</v>
      </c>
      <c r="H378">
        <v>0</v>
      </c>
      <c r="I378">
        <v>0</v>
      </c>
    </row>
    <row r="379" spans="1:9">
      <c r="A379" t="s">
        <v>397</v>
      </c>
      <c r="B379" t="s">
        <v>15</v>
      </c>
      <c r="C379" t="str">
        <f t="shared" si="10"/>
        <v>B</v>
      </c>
      <c r="D379" t="s">
        <v>9</v>
      </c>
      <c r="E379" t="s">
        <v>23</v>
      </c>
      <c r="F379" t="str">
        <f t="shared" si="11"/>
        <v>Desktop</v>
      </c>
      <c r="G379">
        <v>10</v>
      </c>
      <c r="H379">
        <v>1</v>
      </c>
      <c r="I379">
        <v>6508.85</v>
      </c>
    </row>
    <row r="380" spans="1:9">
      <c r="A380" t="s">
        <v>398</v>
      </c>
      <c r="B380" t="s">
        <v>15</v>
      </c>
      <c r="C380" t="str">
        <f t="shared" si="10"/>
        <v>B</v>
      </c>
      <c r="D380" t="s">
        <v>9</v>
      </c>
      <c r="E380" t="s">
        <v>16</v>
      </c>
      <c r="F380" t="str">
        <f t="shared" si="11"/>
        <v>Mobile</v>
      </c>
      <c r="G380">
        <v>4</v>
      </c>
      <c r="H380">
        <v>0</v>
      </c>
      <c r="I380">
        <v>0</v>
      </c>
    </row>
    <row r="381" spans="1:9">
      <c r="A381" t="s">
        <v>399</v>
      </c>
      <c r="B381" t="s">
        <v>29</v>
      </c>
      <c r="C381" t="str">
        <f t="shared" si="10"/>
        <v>B</v>
      </c>
      <c r="D381" t="s">
        <v>20</v>
      </c>
      <c r="E381" t="s">
        <v>10</v>
      </c>
      <c r="F381" t="str">
        <f t="shared" si="11"/>
        <v>Mobile</v>
      </c>
      <c r="G381">
        <v>8</v>
      </c>
      <c r="H381">
        <v>0</v>
      </c>
      <c r="I381">
        <v>0</v>
      </c>
    </row>
    <row r="382" spans="1:9">
      <c r="A382" t="s">
        <v>400</v>
      </c>
      <c r="B382" t="s">
        <v>8</v>
      </c>
      <c r="C382" t="str">
        <f t="shared" si="10"/>
        <v>A</v>
      </c>
      <c r="D382" t="s">
        <v>13</v>
      </c>
      <c r="E382" t="s">
        <v>23</v>
      </c>
      <c r="F382" t="str">
        <f t="shared" si="11"/>
        <v>Desktop</v>
      </c>
      <c r="G382">
        <v>5</v>
      </c>
      <c r="H382">
        <v>0</v>
      </c>
      <c r="I382">
        <v>0</v>
      </c>
    </row>
    <row r="383" spans="1:9">
      <c r="A383" t="s">
        <v>401</v>
      </c>
      <c r="B383" t="s">
        <v>8</v>
      </c>
      <c r="C383" t="str">
        <f t="shared" si="10"/>
        <v>A</v>
      </c>
      <c r="D383" t="s">
        <v>9</v>
      </c>
      <c r="E383" t="s">
        <v>16</v>
      </c>
      <c r="F383" t="str">
        <f t="shared" si="11"/>
        <v>Mobile</v>
      </c>
      <c r="G383">
        <v>3</v>
      </c>
      <c r="H383">
        <v>0</v>
      </c>
      <c r="I383">
        <v>0</v>
      </c>
    </row>
    <row r="384" spans="1:9">
      <c r="A384" t="s">
        <v>402</v>
      </c>
      <c r="B384" t="s">
        <v>15</v>
      </c>
      <c r="C384" t="str">
        <f t="shared" si="10"/>
        <v>B</v>
      </c>
      <c r="D384" t="s">
        <v>13</v>
      </c>
      <c r="E384" t="s">
        <v>23</v>
      </c>
      <c r="F384" t="str">
        <f t="shared" si="11"/>
        <v>Desktop</v>
      </c>
      <c r="G384">
        <v>9</v>
      </c>
      <c r="H384">
        <v>0</v>
      </c>
      <c r="I384">
        <v>0</v>
      </c>
    </row>
    <row r="385" spans="1:9">
      <c r="A385" t="s">
        <v>403</v>
      </c>
      <c r="B385" t="s">
        <v>8</v>
      </c>
      <c r="C385" t="str">
        <f t="shared" si="10"/>
        <v>A</v>
      </c>
      <c r="D385" t="s">
        <v>20</v>
      </c>
      <c r="E385" t="s">
        <v>23</v>
      </c>
      <c r="F385" t="str">
        <f t="shared" si="11"/>
        <v>Desktop</v>
      </c>
      <c r="G385">
        <v>6</v>
      </c>
      <c r="H385">
        <v>0</v>
      </c>
      <c r="I385">
        <v>0</v>
      </c>
    </row>
    <row r="386" spans="1:9">
      <c r="A386" t="s">
        <v>404</v>
      </c>
      <c r="B386" t="s">
        <v>12</v>
      </c>
      <c r="C386" t="str">
        <f t="shared" ref="C386:C449" si="12">IF(OR(B386="control", B386="A"), "A", "B")</f>
        <v>A</v>
      </c>
      <c r="D386" t="s">
        <v>9</v>
      </c>
      <c r="E386" t="s">
        <v>10</v>
      </c>
      <c r="F386" t="str">
        <f t="shared" ref="F386:F449" si="13">PROPER(E386)</f>
        <v>Mobile</v>
      </c>
      <c r="G386">
        <v>8</v>
      </c>
      <c r="H386">
        <v>1</v>
      </c>
      <c r="I386">
        <v>5042.24</v>
      </c>
    </row>
    <row r="387" spans="1:9">
      <c r="A387" t="s">
        <v>405</v>
      </c>
      <c r="B387" t="s">
        <v>15</v>
      </c>
      <c r="C387" t="str">
        <f t="shared" si="12"/>
        <v>B</v>
      </c>
      <c r="D387" t="s">
        <v>13</v>
      </c>
      <c r="E387" t="s">
        <v>10</v>
      </c>
      <c r="F387" t="str">
        <f t="shared" si="13"/>
        <v>Mobile</v>
      </c>
      <c r="G387">
        <v>5</v>
      </c>
      <c r="H387">
        <v>0</v>
      </c>
      <c r="I387">
        <v>0</v>
      </c>
    </row>
    <row r="388" spans="1:9">
      <c r="A388" t="s">
        <v>406</v>
      </c>
      <c r="B388" t="s">
        <v>8</v>
      </c>
      <c r="C388" t="str">
        <f t="shared" si="12"/>
        <v>A</v>
      </c>
      <c r="D388" t="s">
        <v>20</v>
      </c>
      <c r="E388" t="s">
        <v>10</v>
      </c>
      <c r="F388" t="str">
        <f t="shared" si="13"/>
        <v>Mobile</v>
      </c>
      <c r="G388">
        <v>4</v>
      </c>
      <c r="H388">
        <v>1</v>
      </c>
      <c r="I388">
        <v>1336.95</v>
      </c>
    </row>
    <row r="389" spans="1:9">
      <c r="A389" t="s">
        <v>407</v>
      </c>
      <c r="B389" t="s">
        <v>15</v>
      </c>
      <c r="C389" t="str">
        <f t="shared" si="12"/>
        <v>B</v>
      </c>
      <c r="D389" t="s">
        <v>13</v>
      </c>
      <c r="E389" t="s">
        <v>10</v>
      </c>
      <c r="F389" t="str">
        <f t="shared" si="13"/>
        <v>Mobile</v>
      </c>
      <c r="G389">
        <v>8</v>
      </c>
      <c r="H389">
        <v>0</v>
      </c>
      <c r="I389">
        <v>0</v>
      </c>
    </row>
    <row r="390" spans="1:9">
      <c r="A390" t="s">
        <v>408</v>
      </c>
      <c r="B390" t="s">
        <v>15</v>
      </c>
      <c r="C390" t="str">
        <f t="shared" si="12"/>
        <v>B</v>
      </c>
      <c r="D390" t="s">
        <v>20</v>
      </c>
      <c r="E390" t="s">
        <v>16</v>
      </c>
      <c r="F390" t="str">
        <f t="shared" si="13"/>
        <v>Mobile</v>
      </c>
      <c r="G390">
        <v>4</v>
      </c>
      <c r="H390">
        <v>0</v>
      </c>
      <c r="I390">
        <v>0</v>
      </c>
    </row>
    <row r="391" spans="1:9">
      <c r="A391" t="s">
        <v>409</v>
      </c>
      <c r="B391" t="s">
        <v>8</v>
      </c>
      <c r="C391" t="str">
        <f t="shared" si="12"/>
        <v>A</v>
      </c>
      <c r="D391" t="s">
        <v>20</v>
      </c>
      <c r="E391" t="s">
        <v>10</v>
      </c>
      <c r="F391" t="str">
        <f t="shared" si="13"/>
        <v>Mobile</v>
      </c>
      <c r="G391">
        <v>7</v>
      </c>
      <c r="H391">
        <v>0</v>
      </c>
      <c r="I391">
        <v>0</v>
      </c>
    </row>
    <row r="392" spans="1:9">
      <c r="A392" t="s">
        <v>410</v>
      </c>
      <c r="B392" t="s">
        <v>15</v>
      </c>
      <c r="C392" t="str">
        <f t="shared" si="12"/>
        <v>B</v>
      </c>
      <c r="D392" t="s">
        <v>13</v>
      </c>
      <c r="E392" t="s">
        <v>33</v>
      </c>
      <c r="F392" t="str">
        <f t="shared" si="13"/>
        <v>Desktop</v>
      </c>
      <c r="G392">
        <v>7</v>
      </c>
      <c r="H392">
        <v>1</v>
      </c>
      <c r="I392">
        <v>2234.14</v>
      </c>
    </row>
    <row r="393" spans="1:9">
      <c r="A393" t="s">
        <v>411</v>
      </c>
      <c r="B393" t="s">
        <v>15</v>
      </c>
      <c r="C393" t="str">
        <f t="shared" si="12"/>
        <v>B</v>
      </c>
      <c r="D393" t="s">
        <v>20</v>
      </c>
      <c r="E393" t="s">
        <v>33</v>
      </c>
      <c r="F393" t="str">
        <f t="shared" si="13"/>
        <v>Desktop</v>
      </c>
      <c r="G393">
        <v>6</v>
      </c>
      <c r="H393">
        <v>1</v>
      </c>
      <c r="I393">
        <v>1468.78</v>
      </c>
    </row>
    <row r="394" spans="1:9">
      <c r="A394" t="s">
        <v>412</v>
      </c>
      <c r="B394" t="s">
        <v>15</v>
      </c>
      <c r="C394" t="str">
        <f t="shared" si="12"/>
        <v>B</v>
      </c>
      <c r="D394" t="s">
        <v>20</v>
      </c>
      <c r="E394" t="s">
        <v>10</v>
      </c>
      <c r="F394" t="str">
        <f t="shared" si="13"/>
        <v>Mobile</v>
      </c>
      <c r="G394">
        <v>5</v>
      </c>
      <c r="H394">
        <v>0</v>
      </c>
      <c r="I394">
        <v>0</v>
      </c>
    </row>
    <row r="395" spans="1:9">
      <c r="A395" t="s">
        <v>413</v>
      </c>
      <c r="B395" t="s">
        <v>8</v>
      </c>
      <c r="C395" t="str">
        <f t="shared" si="12"/>
        <v>A</v>
      </c>
      <c r="D395" t="s">
        <v>13</v>
      </c>
      <c r="E395" t="s">
        <v>10</v>
      </c>
      <c r="F395" t="str">
        <f t="shared" si="13"/>
        <v>Mobile</v>
      </c>
      <c r="G395">
        <v>9</v>
      </c>
      <c r="H395">
        <v>0</v>
      </c>
      <c r="I395">
        <v>0</v>
      </c>
    </row>
    <row r="396" spans="1:9">
      <c r="A396" t="s">
        <v>414</v>
      </c>
      <c r="B396" t="s">
        <v>15</v>
      </c>
      <c r="C396" t="str">
        <f t="shared" si="12"/>
        <v>B</v>
      </c>
      <c r="D396" t="s">
        <v>20</v>
      </c>
      <c r="E396" t="s">
        <v>16</v>
      </c>
      <c r="F396" t="str">
        <f t="shared" si="13"/>
        <v>Mobile</v>
      </c>
      <c r="G396">
        <v>7</v>
      </c>
      <c r="H396">
        <v>0</v>
      </c>
      <c r="I396">
        <v>0</v>
      </c>
    </row>
    <row r="397" spans="1:9">
      <c r="A397" t="s">
        <v>415</v>
      </c>
      <c r="B397" t="s">
        <v>8</v>
      </c>
      <c r="C397" t="str">
        <f t="shared" si="12"/>
        <v>A</v>
      </c>
      <c r="D397" t="s">
        <v>18</v>
      </c>
      <c r="E397" t="s">
        <v>33</v>
      </c>
      <c r="F397" t="str">
        <f t="shared" si="13"/>
        <v>Desktop</v>
      </c>
      <c r="G397">
        <v>10</v>
      </c>
      <c r="H397">
        <v>0</v>
      </c>
      <c r="I397">
        <v>0</v>
      </c>
    </row>
    <row r="398" spans="1:9">
      <c r="A398" t="s">
        <v>416</v>
      </c>
      <c r="B398" t="s">
        <v>8</v>
      </c>
      <c r="C398" t="str">
        <f t="shared" si="12"/>
        <v>A</v>
      </c>
      <c r="D398" t="s">
        <v>20</v>
      </c>
      <c r="E398" t="s">
        <v>10</v>
      </c>
      <c r="F398" t="str">
        <f t="shared" si="13"/>
        <v>Mobile</v>
      </c>
      <c r="G398">
        <v>4</v>
      </c>
      <c r="H398">
        <v>0</v>
      </c>
      <c r="I398">
        <v>0</v>
      </c>
    </row>
    <row r="399" spans="1:9">
      <c r="A399" t="s">
        <v>417</v>
      </c>
      <c r="B399" t="s">
        <v>15</v>
      </c>
      <c r="C399" t="str">
        <f t="shared" si="12"/>
        <v>B</v>
      </c>
      <c r="D399" t="s">
        <v>20</v>
      </c>
      <c r="E399" t="s">
        <v>10</v>
      </c>
      <c r="F399" t="str">
        <f t="shared" si="13"/>
        <v>Mobile</v>
      </c>
      <c r="G399">
        <v>2</v>
      </c>
      <c r="H399">
        <v>0</v>
      </c>
      <c r="I399">
        <v>0</v>
      </c>
    </row>
    <row r="400" spans="1:9">
      <c r="A400" t="s">
        <v>418</v>
      </c>
      <c r="B400" t="s">
        <v>8</v>
      </c>
      <c r="C400" t="str">
        <f t="shared" si="12"/>
        <v>A</v>
      </c>
      <c r="D400" t="s">
        <v>20</v>
      </c>
      <c r="E400" t="s">
        <v>23</v>
      </c>
      <c r="F400" t="str">
        <f t="shared" si="13"/>
        <v>Desktop</v>
      </c>
      <c r="G400">
        <v>9</v>
      </c>
      <c r="H400">
        <v>0</v>
      </c>
      <c r="I400">
        <v>0</v>
      </c>
    </row>
    <row r="401" spans="1:9">
      <c r="A401" t="s">
        <v>419</v>
      </c>
      <c r="B401" t="s">
        <v>8</v>
      </c>
      <c r="C401" t="str">
        <f t="shared" si="12"/>
        <v>A</v>
      </c>
      <c r="D401" t="s">
        <v>20</v>
      </c>
      <c r="E401" t="s">
        <v>23</v>
      </c>
      <c r="F401" t="str">
        <f t="shared" si="13"/>
        <v>Desktop</v>
      </c>
      <c r="G401">
        <v>10</v>
      </c>
      <c r="H401">
        <v>1</v>
      </c>
      <c r="I401">
        <v>1334.42</v>
      </c>
    </row>
    <row r="402" spans="1:9">
      <c r="A402" t="s">
        <v>420</v>
      </c>
      <c r="B402" t="s">
        <v>12</v>
      </c>
      <c r="C402" t="str">
        <f t="shared" si="12"/>
        <v>A</v>
      </c>
      <c r="D402" t="s">
        <v>20</v>
      </c>
      <c r="E402" t="s">
        <v>10</v>
      </c>
      <c r="F402" t="str">
        <f t="shared" si="13"/>
        <v>Mobile</v>
      </c>
      <c r="G402">
        <v>7</v>
      </c>
      <c r="H402">
        <v>0</v>
      </c>
      <c r="I402">
        <v>0</v>
      </c>
    </row>
    <row r="403" spans="1:9">
      <c r="A403" t="s">
        <v>421</v>
      </c>
      <c r="B403" t="s">
        <v>12</v>
      </c>
      <c r="C403" t="str">
        <f t="shared" si="12"/>
        <v>A</v>
      </c>
      <c r="D403" t="s">
        <v>13</v>
      </c>
      <c r="E403" t="s">
        <v>23</v>
      </c>
      <c r="F403" t="str">
        <f t="shared" si="13"/>
        <v>Desktop</v>
      </c>
      <c r="G403">
        <v>3</v>
      </c>
      <c r="H403">
        <v>0</v>
      </c>
      <c r="I403">
        <v>0</v>
      </c>
    </row>
    <row r="404" spans="1:9">
      <c r="A404" t="s">
        <v>422</v>
      </c>
      <c r="B404" t="s">
        <v>15</v>
      </c>
      <c r="C404" t="str">
        <f t="shared" si="12"/>
        <v>B</v>
      </c>
      <c r="D404" t="s">
        <v>18</v>
      </c>
      <c r="E404" t="s">
        <v>10</v>
      </c>
      <c r="F404" t="str">
        <f t="shared" si="13"/>
        <v>Mobile</v>
      </c>
      <c r="G404">
        <v>6</v>
      </c>
      <c r="H404">
        <v>0</v>
      </c>
      <c r="I404">
        <v>0</v>
      </c>
    </row>
    <row r="405" spans="1:9">
      <c r="A405" t="s">
        <v>423</v>
      </c>
      <c r="B405" t="s">
        <v>15</v>
      </c>
      <c r="C405" t="str">
        <f t="shared" si="12"/>
        <v>B</v>
      </c>
      <c r="D405" t="s">
        <v>20</v>
      </c>
      <c r="E405" t="s">
        <v>10</v>
      </c>
      <c r="F405" t="str">
        <f t="shared" si="13"/>
        <v>Mobile</v>
      </c>
      <c r="G405">
        <v>7</v>
      </c>
      <c r="H405">
        <v>0</v>
      </c>
      <c r="I405">
        <v>0</v>
      </c>
    </row>
    <row r="406" spans="1:9">
      <c r="A406" t="s">
        <v>424</v>
      </c>
      <c r="B406" t="s">
        <v>8</v>
      </c>
      <c r="C406" t="str">
        <f t="shared" si="12"/>
        <v>A</v>
      </c>
      <c r="D406" t="s">
        <v>13</v>
      </c>
      <c r="E406" t="s">
        <v>10</v>
      </c>
      <c r="F406" t="str">
        <f t="shared" si="13"/>
        <v>Mobile</v>
      </c>
      <c r="G406">
        <v>9</v>
      </c>
      <c r="H406">
        <v>0</v>
      </c>
      <c r="I406">
        <v>0</v>
      </c>
    </row>
    <row r="407" spans="1:9">
      <c r="A407" t="s">
        <v>425</v>
      </c>
      <c r="B407" t="s">
        <v>8</v>
      </c>
      <c r="C407" t="str">
        <f t="shared" si="12"/>
        <v>A</v>
      </c>
      <c r="D407" t="s">
        <v>13</v>
      </c>
      <c r="E407" t="s">
        <v>10</v>
      </c>
      <c r="F407" t="str">
        <f t="shared" si="13"/>
        <v>Mobile</v>
      </c>
      <c r="G407">
        <v>4</v>
      </c>
      <c r="H407">
        <v>0</v>
      </c>
      <c r="I407">
        <v>0</v>
      </c>
    </row>
    <row r="408" spans="1:9">
      <c r="A408" t="s">
        <v>426</v>
      </c>
      <c r="B408" t="s">
        <v>8</v>
      </c>
      <c r="C408" t="str">
        <f t="shared" si="12"/>
        <v>A</v>
      </c>
      <c r="D408" t="s">
        <v>9</v>
      </c>
      <c r="E408" t="s">
        <v>10</v>
      </c>
      <c r="F408" t="str">
        <f t="shared" si="13"/>
        <v>Mobile</v>
      </c>
      <c r="G408">
        <v>8</v>
      </c>
      <c r="H408">
        <v>0</v>
      </c>
      <c r="I408">
        <v>0</v>
      </c>
    </row>
    <row r="409" spans="1:9">
      <c r="A409" t="s">
        <v>427</v>
      </c>
      <c r="B409" t="s">
        <v>15</v>
      </c>
      <c r="C409" t="str">
        <f t="shared" si="12"/>
        <v>B</v>
      </c>
      <c r="D409" t="s">
        <v>13</v>
      </c>
      <c r="E409" t="s">
        <v>10</v>
      </c>
      <c r="F409" t="str">
        <f t="shared" si="13"/>
        <v>Mobile</v>
      </c>
      <c r="G409">
        <v>10</v>
      </c>
      <c r="H409">
        <v>1</v>
      </c>
      <c r="I409">
        <v>2007.66</v>
      </c>
    </row>
    <row r="410" spans="1:9">
      <c r="A410" t="s">
        <v>428</v>
      </c>
      <c r="B410" t="s">
        <v>15</v>
      </c>
      <c r="C410" t="str">
        <f t="shared" si="12"/>
        <v>B</v>
      </c>
      <c r="D410" t="s">
        <v>20</v>
      </c>
      <c r="E410" t="s">
        <v>10</v>
      </c>
      <c r="F410" t="str">
        <f t="shared" si="13"/>
        <v>Mobile</v>
      </c>
      <c r="G410">
        <v>9</v>
      </c>
      <c r="H410">
        <v>0</v>
      </c>
      <c r="I410">
        <v>0</v>
      </c>
    </row>
    <row r="411" spans="1:9">
      <c r="A411" t="s">
        <v>429</v>
      </c>
      <c r="B411" t="s">
        <v>15</v>
      </c>
      <c r="C411" t="str">
        <f t="shared" si="12"/>
        <v>B</v>
      </c>
      <c r="D411" t="s">
        <v>20</v>
      </c>
      <c r="E411" t="s">
        <v>10</v>
      </c>
      <c r="F411" t="str">
        <f t="shared" si="13"/>
        <v>Mobile</v>
      </c>
      <c r="G411">
        <v>8</v>
      </c>
      <c r="H411">
        <v>0</v>
      </c>
      <c r="I411">
        <v>0</v>
      </c>
    </row>
    <row r="412" spans="1:9">
      <c r="A412" t="s">
        <v>430</v>
      </c>
      <c r="B412" t="s">
        <v>15</v>
      </c>
      <c r="C412" t="str">
        <f t="shared" si="12"/>
        <v>B</v>
      </c>
      <c r="D412" t="s">
        <v>13</v>
      </c>
      <c r="E412" t="s">
        <v>10</v>
      </c>
      <c r="F412" t="str">
        <f t="shared" si="13"/>
        <v>Mobile</v>
      </c>
      <c r="G412">
        <v>7</v>
      </c>
      <c r="H412">
        <v>0</v>
      </c>
      <c r="I412">
        <v>0</v>
      </c>
    </row>
    <row r="413" spans="1:9">
      <c r="A413" t="s">
        <v>431</v>
      </c>
      <c r="B413" t="s">
        <v>8</v>
      </c>
      <c r="C413" t="str">
        <f t="shared" si="12"/>
        <v>A</v>
      </c>
      <c r="D413" t="s">
        <v>9</v>
      </c>
      <c r="E413" t="s">
        <v>83</v>
      </c>
      <c r="F413" t="str">
        <f t="shared" si="13"/>
        <v>Tablet</v>
      </c>
      <c r="G413">
        <v>6</v>
      </c>
      <c r="H413">
        <v>0</v>
      </c>
      <c r="I413">
        <v>0</v>
      </c>
    </row>
    <row r="414" spans="1:9">
      <c r="A414" t="s">
        <v>432</v>
      </c>
      <c r="B414" t="s">
        <v>15</v>
      </c>
      <c r="C414" t="str">
        <f t="shared" si="12"/>
        <v>B</v>
      </c>
      <c r="D414" t="s">
        <v>20</v>
      </c>
      <c r="E414" t="s">
        <v>10</v>
      </c>
      <c r="F414" t="str">
        <f t="shared" si="13"/>
        <v>Mobile</v>
      </c>
      <c r="G414">
        <v>7</v>
      </c>
      <c r="H414">
        <v>0</v>
      </c>
      <c r="I414">
        <v>0</v>
      </c>
    </row>
    <row r="415" spans="1:9">
      <c r="A415" t="s">
        <v>433</v>
      </c>
      <c r="B415" t="s">
        <v>8</v>
      </c>
      <c r="C415" t="str">
        <f t="shared" si="12"/>
        <v>A</v>
      </c>
      <c r="D415" t="s">
        <v>20</v>
      </c>
      <c r="E415" t="s">
        <v>10</v>
      </c>
      <c r="F415" t="str">
        <f t="shared" si="13"/>
        <v>Mobile</v>
      </c>
      <c r="G415">
        <v>8</v>
      </c>
      <c r="H415">
        <v>0</v>
      </c>
      <c r="I415">
        <v>0</v>
      </c>
    </row>
    <row r="416" spans="1:9">
      <c r="A416" t="s">
        <v>434</v>
      </c>
      <c r="B416" t="s">
        <v>15</v>
      </c>
      <c r="C416" t="str">
        <f t="shared" si="12"/>
        <v>B</v>
      </c>
      <c r="D416" t="s">
        <v>9</v>
      </c>
      <c r="E416" t="s">
        <v>23</v>
      </c>
      <c r="F416" t="str">
        <f t="shared" si="13"/>
        <v>Desktop</v>
      </c>
      <c r="G416">
        <v>4</v>
      </c>
      <c r="H416">
        <v>0</v>
      </c>
      <c r="I416">
        <v>0</v>
      </c>
    </row>
    <row r="417" spans="1:9">
      <c r="A417" t="s">
        <v>435</v>
      </c>
      <c r="B417" t="s">
        <v>8</v>
      </c>
      <c r="C417" t="str">
        <f t="shared" si="12"/>
        <v>A</v>
      </c>
      <c r="D417" t="s">
        <v>9</v>
      </c>
      <c r="E417" t="s">
        <v>83</v>
      </c>
      <c r="F417" t="str">
        <f t="shared" si="13"/>
        <v>Tablet</v>
      </c>
      <c r="G417">
        <v>7</v>
      </c>
      <c r="H417">
        <v>1</v>
      </c>
      <c r="I417">
        <v>5686.78</v>
      </c>
    </row>
    <row r="418" spans="1:9">
      <c r="A418" t="s">
        <v>436</v>
      </c>
      <c r="B418" t="s">
        <v>15</v>
      </c>
      <c r="C418" t="str">
        <f t="shared" si="12"/>
        <v>B</v>
      </c>
      <c r="D418" t="s">
        <v>18</v>
      </c>
      <c r="E418" t="s">
        <v>10</v>
      </c>
      <c r="F418" t="str">
        <f t="shared" si="13"/>
        <v>Mobile</v>
      </c>
      <c r="G418">
        <v>15</v>
      </c>
      <c r="H418">
        <v>0</v>
      </c>
      <c r="I418">
        <v>0</v>
      </c>
    </row>
    <row r="419" spans="1:9">
      <c r="A419" t="s">
        <v>437</v>
      </c>
      <c r="B419" t="s">
        <v>8</v>
      </c>
      <c r="C419" t="str">
        <f t="shared" si="12"/>
        <v>A</v>
      </c>
      <c r="D419" t="s">
        <v>13</v>
      </c>
      <c r="E419" t="s">
        <v>23</v>
      </c>
      <c r="F419" t="str">
        <f t="shared" si="13"/>
        <v>Desktop</v>
      </c>
      <c r="G419">
        <v>2</v>
      </c>
      <c r="H419">
        <v>0</v>
      </c>
      <c r="I419">
        <v>0</v>
      </c>
    </row>
    <row r="420" spans="1:9">
      <c r="A420" t="s">
        <v>438</v>
      </c>
      <c r="B420" t="s">
        <v>8</v>
      </c>
      <c r="C420" t="str">
        <f t="shared" si="12"/>
        <v>A</v>
      </c>
      <c r="D420" t="s">
        <v>20</v>
      </c>
      <c r="E420" t="s">
        <v>23</v>
      </c>
      <c r="F420" t="str">
        <f t="shared" si="13"/>
        <v>Desktop</v>
      </c>
      <c r="G420">
        <v>8</v>
      </c>
      <c r="H420">
        <v>0</v>
      </c>
      <c r="I420">
        <v>0</v>
      </c>
    </row>
    <row r="421" spans="1:9">
      <c r="A421" t="s">
        <v>439</v>
      </c>
      <c r="B421" t="s">
        <v>8</v>
      </c>
      <c r="C421" t="str">
        <f t="shared" si="12"/>
        <v>A</v>
      </c>
      <c r="D421" t="s">
        <v>13</v>
      </c>
      <c r="E421" t="s">
        <v>23</v>
      </c>
      <c r="F421" t="str">
        <f t="shared" si="13"/>
        <v>Desktop</v>
      </c>
      <c r="G421">
        <v>8</v>
      </c>
      <c r="H421">
        <v>0</v>
      </c>
      <c r="I421">
        <v>0</v>
      </c>
    </row>
    <row r="422" spans="1:9">
      <c r="A422" t="s">
        <v>440</v>
      </c>
      <c r="B422" t="s">
        <v>15</v>
      </c>
      <c r="C422" t="str">
        <f t="shared" si="12"/>
        <v>B</v>
      </c>
      <c r="D422" t="s">
        <v>13</v>
      </c>
      <c r="E422" t="s">
        <v>10</v>
      </c>
      <c r="F422" t="str">
        <f t="shared" si="13"/>
        <v>Mobile</v>
      </c>
      <c r="G422">
        <v>3</v>
      </c>
      <c r="H422">
        <v>1</v>
      </c>
      <c r="I422">
        <v>1660.53</v>
      </c>
    </row>
    <row r="423" spans="1:9">
      <c r="A423" t="s">
        <v>441</v>
      </c>
      <c r="B423" t="s">
        <v>15</v>
      </c>
      <c r="C423" t="str">
        <f t="shared" si="12"/>
        <v>B</v>
      </c>
      <c r="D423" t="s">
        <v>20</v>
      </c>
      <c r="E423" t="s">
        <v>23</v>
      </c>
      <c r="F423" t="str">
        <f t="shared" si="13"/>
        <v>Desktop</v>
      </c>
      <c r="G423">
        <v>5</v>
      </c>
      <c r="H423">
        <v>0</v>
      </c>
      <c r="I423">
        <v>0</v>
      </c>
    </row>
    <row r="424" spans="1:9">
      <c r="A424" t="s">
        <v>442</v>
      </c>
      <c r="B424" t="s">
        <v>8</v>
      </c>
      <c r="C424" t="str">
        <f t="shared" si="12"/>
        <v>A</v>
      </c>
      <c r="D424" t="s">
        <v>13</v>
      </c>
      <c r="E424" t="s">
        <v>10</v>
      </c>
      <c r="F424" t="str">
        <f t="shared" si="13"/>
        <v>Mobile</v>
      </c>
      <c r="G424">
        <v>4</v>
      </c>
      <c r="H424">
        <v>0</v>
      </c>
      <c r="I424">
        <v>0</v>
      </c>
    </row>
    <row r="425" spans="1:9">
      <c r="A425" t="s">
        <v>443</v>
      </c>
      <c r="B425" t="s">
        <v>8</v>
      </c>
      <c r="C425" t="str">
        <f t="shared" si="12"/>
        <v>A</v>
      </c>
      <c r="D425" t="s">
        <v>13</v>
      </c>
      <c r="E425" t="s">
        <v>23</v>
      </c>
      <c r="F425" t="str">
        <f t="shared" si="13"/>
        <v>Desktop</v>
      </c>
      <c r="G425">
        <v>4</v>
      </c>
      <c r="H425">
        <v>0</v>
      </c>
      <c r="I425">
        <v>0</v>
      </c>
    </row>
    <row r="426" spans="1:9">
      <c r="A426" t="s">
        <v>444</v>
      </c>
      <c r="B426" t="s">
        <v>15</v>
      </c>
      <c r="C426" t="str">
        <f t="shared" si="12"/>
        <v>B</v>
      </c>
      <c r="D426" t="s">
        <v>20</v>
      </c>
      <c r="E426" t="s">
        <v>23</v>
      </c>
      <c r="F426" t="str">
        <f t="shared" si="13"/>
        <v>Desktop</v>
      </c>
      <c r="G426">
        <v>3</v>
      </c>
      <c r="H426">
        <v>0</v>
      </c>
      <c r="I426">
        <v>0</v>
      </c>
    </row>
    <row r="427" spans="1:9">
      <c r="A427" t="s">
        <v>445</v>
      </c>
      <c r="B427" t="s">
        <v>8</v>
      </c>
      <c r="C427" t="str">
        <f t="shared" si="12"/>
        <v>A</v>
      </c>
      <c r="D427" t="s">
        <v>9</v>
      </c>
      <c r="E427" t="s">
        <v>10</v>
      </c>
      <c r="F427" t="str">
        <f t="shared" si="13"/>
        <v>Mobile</v>
      </c>
      <c r="G427">
        <v>4</v>
      </c>
      <c r="H427">
        <v>0</v>
      </c>
      <c r="I427">
        <v>0</v>
      </c>
    </row>
    <row r="428" spans="1:9">
      <c r="A428" t="s">
        <v>446</v>
      </c>
      <c r="B428" t="s">
        <v>15</v>
      </c>
      <c r="C428" t="str">
        <f t="shared" si="12"/>
        <v>B</v>
      </c>
      <c r="D428" t="s">
        <v>13</v>
      </c>
      <c r="E428" t="s">
        <v>16</v>
      </c>
      <c r="F428" t="str">
        <f t="shared" si="13"/>
        <v>Mobile</v>
      </c>
      <c r="G428">
        <v>6</v>
      </c>
      <c r="H428">
        <v>0</v>
      </c>
      <c r="I428">
        <v>0</v>
      </c>
    </row>
    <row r="429" spans="1:9">
      <c r="A429" t="s">
        <v>447</v>
      </c>
      <c r="B429" t="s">
        <v>15</v>
      </c>
      <c r="C429" t="str">
        <f t="shared" si="12"/>
        <v>B</v>
      </c>
      <c r="D429" t="s">
        <v>18</v>
      </c>
      <c r="E429" t="s">
        <v>10</v>
      </c>
      <c r="F429" t="str">
        <f t="shared" si="13"/>
        <v>Mobile</v>
      </c>
      <c r="G429">
        <v>11</v>
      </c>
      <c r="H429">
        <v>0</v>
      </c>
      <c r="I429">
        <v>0</v>
      </c>
    </row>
    <row r="430" spans="1:9">
      <c r="A430" t="s">
        <v>448</v>
      </c>
      <c r="B430" t="s">
        <v>8</v>
      </c>
      <c r="C430" t="str">
        <f t="shared" si="12"/>
        <v>A</v>
      </c>
      <c r="D430" t="s">
        <v>20</v>
      </c>
      <c r="E430" t="s">
        <v>16</v>
      </c>
      <c r="F430" t="str">
        <f t="shared" si="13"/>
        <v>Mobile</v>
      </c>
      <c r="G430">
        <v>4</v>
      </c>
      <c r="H430">
        <v>0</v>
      </c>
      <c r="I430">
        <v>0</v>
      </c>
    </row>
    <row r="431" spans="1:9">
      <c r="A431" t="s">
        <v>449</v>
      </c>
      <c r="B431" t="s">
        <v>8</v>
      </c>
      <c r="C431" t="str">
        <f t="shared" si="12"/>
        <v>A</v>
      </c>
      <c r="D431" t="s">
        <v>20</v>
      </c>
      <c r="E431" t="s">
        <v>10</v>
      </c>
      <c r="F431" t="str">
        <f t="shared" si="13"/>
        <v>Mobile</v>
      </c>
      <c r="G431">
        <v>6</v>
      </c>
      <c r="H431">
        <v>0</v>
      </c>
      <c r="I431">
        <v>0</v>
      </c>
    </row>
    <row r="432" spans="1:9">
      <c r="A432" t="s">
        <v>450</v>
      </c>
      <c r="B432" t="s">
        <v>29</v>
      </c>
      <c r="C432" t="str">
        <f t="shared" si="12"/>
        <v>B</v>
      </c>
      <c r="D432" t="s">
        <v>13</v>
      </c>
      <c r="E432" t="s">
        <v>10</v>
      </c>
      <c r="F432" t="str">
        <f t="shared" si="13"/>
        <v>Mobile</v>
      </c>
      <c r="G432">
        <v>4</v>
      </c>
      <c r="H432">
        <v>0</v>
      </c>
      <c r="I432">
        <v>0</v>
      </c>
    </row>
    <row r="433" spans="1:9">
      <c r="A433" t="s">
        <v>451</v>
      </c>
      <c r="B433" t="s">
        <v>8</v>
      </c>
      <c r="C433" t="str">
        <f t="shared" si="12"/>
        <v>A</v>
      </c>
      <c r="D433" t="s">
        <v>20</v>
      </c>
      <c r="E433" t="s">
        <v>10</v>
      </c>
      <c r="F433" t="str">
        <f t="shared" si="13"/>
        <v>Mobile</v>
      </c>
      <c r="G433">
        <v>9</v>
      </c>
      <c r="H433">
        <v>1</v>
      </c>
      <c r="I433">
        <v>1290.6099999999999</v>
      </c>
    </row>
    <row r="434" spans="1:9">
      <c r="A434" t="s">
        <v>452</v>
      </c>
      <c r="B434" t="s">
        <v>8</v>
      </c>
      <c r="C434" t="str">
        <f t="shared" si="12"/>
        <v>A</v>
      </c>
      <c r="D434" t="s">
        <v>13</v>
      </c>
      <c r="E434" t="s">
        <v>33</v>
      </c>
      <c r="F434" t="str">
        <f t="shared" si="13"/>
        <v>Desktop</v>
      </c>
      <c r="G434">
        <v>8</v>
      </c>
      <c r="H434">
        <v>0</v>
      </c>
      <c r="I434">
        <v>0</v>
      </c>
    </row>
    <row r="435" spans="1:9">
      <c r="A435" t="s">
        <v>453</v>
      </c>
      <c r="B435" t="s">
        <v>15</v>
      </c>
      <c r="C435" t="str">
        <f t="shared" si="12"/>
        <v>B</v>
      </c>
      <c r="D435" t="s">
        <v>13</v>
      </c>
      <c r="E435" t="s">
        <v>10</v>
      </c>
      <c r="F435" t="str">
        <f t="shared" si="13"/>
        <v>Mobile</v>
      </c>
      <c r="G435">
        <v>3</v>
      </c>
      <c r="H435">
        <v>0</v>
      </c>
      <c r="I435">
        <v>0</v>
      </c>
    </row>
    <row r="436" spans="1:9">
      <c r="A436" t="s">
        <v>454</v>
      </c>
      <c r="B436" t="s">
        <v>12</v>
      </c>
      <c r="C436" t="str">
        <f t="shared" si="12"/>
        <v>A</v>
      </c>
      <c r="D436" t="s">
        <v>20</v>
      </c>
      <c r="E436" t="s">
        <v>10</v>
      </c>
      <c r="F436" t="str">
        <f t="shared" si="13"/>
        <v>Mobile</v>
      </c>
      <c r="G436">
        <v>13</v>
      </c>
      <c r="H436">
        <v>0</v>
      </c>
      <c r="I436">
        <v>0</v>
      </c>
    </row>
    <row r="437" spans="1:9">
      <c r="A437" t="s">
        <v>455</v>
      </c>
      <c r="B437" t="s">
        <v>29</v>
      </c>
      <c r="C437" t="str">
        <f t="shared" si="12"/>
        <v>B</v>
      </c>
      <c r="D437" t="s">
        <v>13</v>
      </c>
      <c r="E437" t="s">
        <v>10</v>
      </c>
      <c r="F437" t="str">
        <f t="shared" si="13"/>
        <v>Mobile</v>
      </c>
      <c r="G437">
        <v>7</v>
      </c>
      <c r="H437">
        <v>0</v>
      </c>
      <c r="I437">
        <v>0</v>
      </c>
    </row>
    <row r="438" spans="1:9">
      <c r="A438" t="s">
        <v>456</v>
      </c>
      <c r="B438" t="s">
        <v>15</v>
      </c>
      <c r="C438" t="str">
        <f t="shared" si="12"/>
        <v>B</v>
      </c>
      <c r="D438" t="s">
        <v>13</v>
      </c>
      <c r="E438" t="s">
        <v>23</v>
      </c>
      <c r="F438" t="str">
        <f t="shared" si="13"/>
        <v>Desktop</v>
      </c>
      <c r="G438">
        <v>9</v>
      </c>
      <c r="H438">
        <v>0</v>
      </c>
      <c r="I438">
        <v>0</v>
      </c>
    </row>
    <row r="439" spans="1:9">
      <c r="A439" t="s">
        <v>457</v>
      </c>
      <c r="B439" t="s">
        <v>8</v>
      </c>
      <c r="C439" t="str">
        <f t="shared" si="12"/>
        <v>A</v>
      </c>
      <c r="D439" t="s">
        <v>20</v>
      </c>
      <c r="E439" t="s">
        <v>23</v>
      </c>
      <c r="F439" t="str">
        <f t="shared" si="13"/>
        <v>Desktop</v>
      </c>
      <c r="G439">
        <v>4</v>
      </c>
      <c r="H439">
        <v>0</v>
      </c>
      <c r="I439">
        <v>0</v>
      </c>
    </row>
    <row r="440" spans="1:9">
      <c r="A440" t="s">
        <v>458</v>
      </c>
      <c r="B440" t="s">
        <v>8</v>
      </c>
      <c r="C440" t="str">
        <f t="shared" si="12"/>
        <v>A</v>
      </c>
      <c r="D440" t="s">
        <v>18</v>
      </c>
      <c r="E440" t="s">
        <v>10</v>
      </c>
      <c r="F440" t="str">
        <f t="shared" si="13"/>
        <v>Mobile</v>
      </c>
      <c r="G440">
        <v>10</v>
      </c>
      <c r="H440">
        <v>0</v>
      </c>
      <c r="I440">
        <v>0</v>
      </c>
    </row>
    <row r="441" spans="1:9">
      <c r="A441" t="s">
        <v>459</v>
      </c>
      <c r="B441" t="s">
        <v>15</v>
      </c>
      <c r="C441" t="str">
        <f t="shared" si="12"/>
        <v>B</v>
      </c>
      <c r="D441" t="s">
        <v>9</v>
      </c>
      <c r="E441" t="s">
        <v>10</v>
      </c>
      <c r="F441" t="str">
        <f t="shared" si="13"/>
        <v>Mobile</v>
      </c>
      <c r="G441">
        <v>6</v>
      </c>
      <c r="H441">
        <v>1</v>
      </c>
      <c r="I441">
        <v>3099.37</v>
      </c>
    </row>
    <row r="442" spans="1:9">
      <c r="A442" t="s">
        <v>460</v>
      </c>
      <c r="B442" t="s">
        <v>15</v>
      </c>
      <c r="C442" t="str">
        <f t="shared" si="12"/>
        <v>B</v>
      </c>
      <c r="D442" t="s">
        <v>13</v>
      </c>
      <c r="E442" t="s">
        <v>10</v>
      </c>
      <c r="F442" t="str">
        <f t="shared" si="13"/>
        <v>Mobile</v>
      </c>
      <c r="G442">
        <v>9</v>
      </c>
      <c r="H442">
        <v>0</v>
      </c>
      <c r="I442">
        <v>0</v>
      </c>
    </row>
    <row r="443" spans="1:9">
      <c r="A443" t="s">
        <v>461</v>
      </c>
      <c r="B443" t="s">
        <v>8</v>
      </c>
      <c r="C443" t="str">
        <f t="shared" si="12"/>
        <v>A</v>
      </c>
      <c r="D443" t="s">
        <v>13</v>
      </c>
      <c r="E443" t="s">
        <v>10</v>
      </c>
      <c r="F443" t="str">
        <f t="shared" si="13"/>
        <v>Mobile</v>
      </c>
      <c r="G443">
        <v>9</v>
      </c>
      <c r="H443">
        <v>0</v>
      </c>
      <c r="I443">
        <v>0</v>
      </c>
    </row>
    <row r="444" spans="1:9">
      <c r="A444" t="s">
        <v>462</v>
      </c>
      <c r="B444" t="s">
        <v>15</v>
      </c>
      <c r="C444" t="str">
        <f t="shared" si="12"/>
        <v>B</v>
      </c>
      <c r="D444" t="s">
        <v>13</v>
      </c>
      <c r="E444" t="s">
        <v>10</v>
      </c>
      <c r="F444" t="str">
        <f t="shared" si="13"/>
        <v>Mobile</v>
      </c>
      <c r="G444">
        <v>9</v>
      </c>
      <c r="H444">
        <v>0</v>
      </c>
      <c r="I444">
        <v>0</v>
      </c>
    </row>
    <row r="445" spans="1:9">
      <c r="A445" t="s">
        <v>463</v>
      </c>
      <c r="B445" t="s">
        <v>8</v>
      </c>
      <c r="C445" t="str">
        <f t="shared" si="12"/>
        <v>A</v>
      </c>
      <c r="D445" t="s">
        <v>18</v>
      </c>
      <c r="E445" t="s">
        <v>23</v>
      </c>
      <c r="F445" t="str">
        <f t="shared" si="13"/>
        <v>Desktop</v>
      </c>
      <c r="G445">
        <v>11</v>
      </c>
      <c r="H445">
        <v>0</v>
      </c>
      <c r="I445">
        <v>0</v>
      </c>
    </row>
    <row r="446" spans="1:9">
      <c r="A446" t="s">
        <v>464</v>
      </c>
      <c r="B446" t="s">
        <v>15</v>
      </c>
      <c r="C446" t="str">
        <f t="shared" si="12"/>
        <v>B</v>
      </c>
      <c r="D446" t="s">
        <v>13</v>
      </c>
      <c r="E446" t="s">
        <v>10</v>
      </c>
      <c r="F446" t="str">
        <f t="shared" si="13"/>
        <v>Mobile</v>
      </c>
      <c r="G446">
        <v>4</v>
      </c>
      <c r="H446">
        <v>0</v>
      </c>
      <c r="I446">
        <v>0</v>
      </c>
    </row>
    <row r="447" spans="1:9">
      <c r="A447" t="s">
        <v>465</v>
      </c>
      <c r="B447" t="s">
        <v>8</v>
      </c>
      <c r="C447" t="str">
        <f t="shared" si="12"/>
        <v>A</v>
      </c>
      <c r="D447" t="s">
        <v>13</v>
      </c>
      <c r="E447" t="s">
        <v>10</v>
      </c>
      <c r="F447" t="str">
        <f t="shared" si="13"/>
        <v>Mobile</v>
      </c>
      <c r="G447">
        <v>5</v>
      </c>
      <c r="H447">
        <v>0</v>
      </c>
      <c r="I447">
        <v>0</v>
      </c>
    </row>
    <row r="448" spans="1:9">
      <c r="A448" t="s">
        <v>466</v>
      </c>
      <c r="B448" t="s">
        <v>15</v>
      </c>
      <c r="C448" t="str">
        <f t="shared" si="12"/>
        <v>B</v>
      </c>
      <c r="D448" t="s">
        <v>9</v>
      </c>
      <c r="E448" t="s">
        <v>10</v>
      </c>
      <c r="F448" t="str">
        <f t="shared" si="13"/>
        <v>Mobile</v>
      </c>
      <c r="G448">
        <v>2</v>
      </c>
      <c r="H448">
        <v>0</v>
      </c>
      <c r="I448">
        <v>0</v>
      </c>
    </row>
    <row r="449" spans="1:9">
      <c r="A449" t="s">
        <v>467</v>
      </c>
      <c r="B449" t="s">
        <v>8</v>
      </c>
      <c r="C449" t="str">
        <f t="shared" si="12"/>
        <v>A</v>
      </c>
      <c r="D449" t="s">
        <v>20</v>
      </c>
      <c r="E449" t="s">
        <v>83</v>
      </c>
      <c r="F449" t="str">
        <f t="shared" si="13"/>
        <v>Tablet</v>
      </c>
      <c r="G449">
        <v>7</v>
      </c>
      <c r="H449">
        <v>0</v>
      </c>
      <c r="I449">
        <v>0</v>
      </c>
    </row>
    <row r="450" spans="1:9">
      <c r="A450" t="s">
        <v>468</v>
      </c>
      <c r="B450" t="s">
        <v>8</v>
      </c>
      <c r="C450" t="str">
        <f t="shared" ref="C450:C513" si="14">IF(OR(B450="control", B450="A"), "A", "B")</f>
        <v>A</v>
      </c>
      <c r="D450" t="s">
        <v>9</v>
      </c>
      <c r="E450" t="s">
        <v>33</v>
      </c>
      <c r="F450" t="str">
        <f t="shared" ref="F450:F513" si="15">PROPER(E450)</f>
        <v>Desktop</v>
      </c>
      <c r="G450">
        <v>5</v>
      </c>
      <c r="H450">
        <v>0</v>
      </c>
      <c r="I450">
        <v>0</v>
      </c>
    </row>
    <row r="451" spans="1:9">
      <c r="A451" t="s">
        <v>469</v>
      </c>
      <c r="B451" t="s">
        <v>8</v>
      </c>
      <c r="C451" t="str">
        <f t="shared" si="14"/>
        <v>A</v>
      </c>
      <c r="D451" t="s">
        <v>20</v>
      </c>
      <c r="E451" t="s">
        <v>23</v>
      </c>
      <c r="F451" t="str">
        <f t="shared" si="15"/>
        <v>Desktop</v>
      </c>
      <c r="G451">
        <v>8</v>
      </c>
      <c r="H451">
        <v>0</v>
      </c>
      <c r="I451">
        <v>0</v>
      </c>
    </row>
    <row r="452" spans="1:9">
      <c r="A452" t="s">
        <v>470</v>
      </c>
      <c r="B452" t="s">
        <v>15</v>
      </c>
      <c r="C452" t="str">
        <f t="shared" si="14"/>
        <v>B</v>
      </c>
      <c r="D452" t="s">
        <v>20</v>
      </c>
      <c r="E452" t="s">
        <v>10</v>
      </c>
      <c r="F452" t="str">
        <f t="shared" si="15"/>
        <v>Mobile</v>
      </c>
      <c r="G452">
        <v>5</v>
      </c>
      <c r="H452">
        <v>1</v>
      </c>
      <c r="I452">
        <v>1611.46</v>
      </c>
    </row>
    <row r="453" spans="1:9">
      <c r="A453" t="s">
        <v>471</v>
      </c>
      <c r="B453" t="s">
        <v>15</v>
      </c>
      <c r="C453" t="str">
        <f t="shared" si="14"/>
        <v>B</v>
      </c>
      <c r="D453" t="s">
        <v>20</v>
      </c>
      <c r="E453" t="s">
        <v>10</v>
      </c>
      <c r="F453" t="str">
        <f t="shared" si="15"/>
        <v>Mobile</v>
      </c>
      <c r="G453">
        <v>6</v>
      </c>
      <c r="H453">
        <v>0</v>
      </c>
      <c r="I453">
        <v>0</v>
      </c>
    </row>
    <row r="454" spans="1:9">
      <c r="A454" t="s">
        <v>472</v>
      </c>
      <c r="B454" t="s">
        <v>15</v>
      </c>
      <c r="C454" t="str">
        <f t="shared" si="14"/>
        <v>B</v>
      </c>
      <c r="D454" t="s">
        <v>18</v>
      </c>
      <c r="E454" t="s">
        <v>10</v>
      </c>
      <c r="F454" t="str">
        <f t="shared" si="15"/>
        <v>Mobile</v>
      </c>
      <c r="G454">
        <v>5</v>
      </c>
      <c r="H454">
        <v>0</v>
      </c>
      <c r="I454">
        <v>0</v>
      </c>
    </row>
    <row r="455" spans="1:9">
      <c r="A455" t="s">
        <v>473</v>
      </c>
      <c r="B455" t="s">
        <v>29</v>
      </c>
      <c r="C455" t="str">
        <f t="shared" si="14"/>
        <v>B</v>
      </c>
      <c r="D455" t="s">
        <v>9</v>
      </c>
      <c r="E455" t="s">
        <v>10</v>
      </c>
      <c r="F455" t="str">
        <f t="shared" si="15"/>
        <v>Mobile</v>
      </c>
      <c r="G455">
        <v>2</v>
      </c>
      <c r="H455">
        <v>0</v>
      </c>
      <c r="I455">
        <v>0</v>
      </c>
    </row>
    <row r="456" spans="1:9">
      <c r="A456" t="s">
        <v>474</v>
      </c>
      <c r="B456" t="s">
        <v>8</v>
      </c>
      <c r="C456" t="str">
        <f t="shared" si="14"/>
        <v>A</v>
      </c>
      <c r="D456" t="s">
        <v>13</v>
      </c>
      <c r="E456" t="s">
        <v>10</v>
      </c>
      <c r="F456" t="str">
        <f t="shared" si="15"/>
        <v>Mobile</v>
      </c>
      <c r="G456">
        <v>7</v>
      </c>
      <c r="H456">
        <v>0</v>
      </c>
      <c r="I456">
        <v>0</v>
      </c>
    </row>
    <row r="457" spans="1:9">
      <c r="A457" t="s">
        <v>475</v>
      </c>
      <c r="B457" t="s">
        <v>8</v>
      </c>
      <c r="C457" t="str">
        <f t="shared" si="14"/>
        <v>A</v>
      </c>
      <c r="D457" t="s">
        <v>13</v>
      </c>
      <c r="E457" t="s">
        <v>23</v>
      </c>
      <c r="F457" t="str">
        <f t="shared" si="15"/>
        <v>Desktop</v>
      </c>
      <c r="G457">
        <v>9</v>
      </c>
      <c r="H457">
        <v>0</v>
      </c>
      <c r="I457">
        <v>0</v>
      </c>
    </row>
    <row r="458" spans="1:9">
      <c r="A458" t="s">
        <v>476</v>
      </c>
      <c r="B458" t="s">
        <v>15</v>
      </c>
      <c r="C458" t="str">
        <f t="shared" si="14"/>
        <v>B</v>
      </c>
      <c r="D458" t="s">
        <v>13</v>
      </c>
      <c r="E458" t="s">
        <v>16</v>
      </c>
      <c r="F458" t="str">
        <f t="shared" si="15"/>
        <v>Mobile</v>
      </c>
      <c r="G458">
        <v>5</v>
      </c>
      <c r="H458">
        <v>0</v>
      </c>
      <c r="I458">
        <v>0</v>
      </c>
    </row>
    <row r="459" spans="1:9">
      <c r="A459" t="s">
        <v>477</v>
      </c>
      <c r="B459" t="s">
        <v>8</v>
      </c>
      <c r="C459" t="str">
        <f t="shared" si="14"/>
        <v>A</v>
      </c>
      <c r="D459" t="s">
        <v>18</v>
      </c>
      <c r="E459" t="s">
        <v>16</v>
      </c>
      <c r="F459" t="str">
        <f t="shared" si="15"/>
        <v>Mobile</v>
      </c>
      <c r="G459">
        <v>5</v>
      </c>
      <c r="H459">
        <v>0</v>
      </c>
      <c r="I459">
        <v>0</v>
      </c>
    </row>
    <row r="460" spans="1:9">
      <c r="A460" t="s">
        <v>478</v>
      </c>
      <c r="B460" t="s">
        <v>29</v>
      </c>
      <c r="C460" t="str">
        <f t="shared" si="14"/>
        <v>B</v>
      </c>
      <c r="D460" t="s">
        <v>13</v>
      </c>
      <c r="E460" t="s">
        <v>10</v>
      </c>
      <c r="F460" t="str">
        <f t="shared" si="15"/>
        <v>Mobile</v>
      </c>
      <c r="G460">
        <v>7</v>
      </c>
      <c r="H460">
        <v>1</v>
      </c>
      <c r="I460">
        <v>1910.84</v>
      </c>
    </row>
    <row r="461" spans="1:9">
      <c r="A461" t="s">
        <v>479</v>
      </c>
      <c r="B461" t="s">
        <v>8</v>
      </c>
      <c r="C461" t="str">
        <f t="shared" si="14"/>
        <v>A</v>
      </c>
      <c r="D461" t="s">
        <v>20</v>
      </c>
      <c r="E461" t="s">
        <v>23</v>
      </c>
      <c r="F461" t="str">
        <f t="shared" si="15"/>
        <v>Desktop</v>
      </c>
      <c r="G461">
        <v>4</v>
      </c>
      <c r="H461">
        <v>0</v>
      </c>
      <c r="I461">
        <v>0</v>
      </c>
    </row>
    <row r="462" spans="1:9">
      <c r="A462" t="s">
        <v>480</v>
      </c>
      <c r="B462" t="s">
        <v>29</v>
      </c>
      <c r="C462" t="str">
        <f t="shared" si="14"/>
        <v>B</v>
      </c>
      <c r="D462" t="s">
        <v>20</v>
      </c>
      <c r="E462" t="s">
        <v>10</v>
      </c>
      <c r="F462" t="str">
        <f t="shared" si="15"/>
        <v>Mobile</v>
      </c>
      <c r="G462">
        <v>9</v>
      </c>
      <c r="H462">
        <v>0</v>
      </c>
      <c r="I462">
        <v>0</v>
      </c>
    </row>
    <row r="463" spans="1:9">
      <c r="A463" t="s">
        <v>481</v>
      </c>
      <c r="B463" t="s">
        <v>8</v>
      </c>
      <c r="C463" t="str">
        <f t="shared" si="14"/>
        <v>A</v>
      </c>
      <c r="D463" t="s">
        <v>9</v>
      </c>
      <c r="E463" t="s">
        <v>10</v>
      </c>
      <c r="F463" t="str">
        <f t="shared" si="15"/>
        <v>Mobile</v>
      </c>
      <c r="G463">
        <v>1</v>
      </c>
      <c r="H463">
        <v>0</v>
      </c>
      <c r="I463">
        <v>0</v>
      </c>
    </row>
    <row r="464" spans="1:9">
      <c r="A464" t="s">
        <v>482</v>
      </c>
      <c r="B464" t="s">
        <v>15</v>
      </c>
      <c r="C464" t="str">
        <f t="shared" si="14"/>
        <v>B</v>
      </c>
      <c r="D464" t="s">
        <v>13</v>
      </c>
      <c r="E464" t="s">
        <v>23</v>
      </c>
      <c r="F464" t="str">
        <f t="shared" si="15"/>
        <v>Desktop</v>
      </c>
      <c r="G464">
        <v>9</v>
      </c>
      <c r="H464">
        <v>0</v>
      </c>
      <c r="I464">
        <v>0</v>
      </c>
    </row>
    <row r="465" spans="1:9">
      <c r="A465" t="s">
        <v>483</v>
      </c>
      <c r="B465" t="s">
        <v>15</v>
      </c>
      <c r="C465" t="str">
        <f t="shared" si="14"/>
        <v>B</v>
      </c>
      <c r="D465" t="s">
        <v>20</v>
      </c>
      <c r="E465" t="s">
        <v>10</v>
      </c>
      <c r="F465" t="str">
        <f t="shared" si="15"/>
        <v>Mobile</v>
      </c>
      <c r="G465">
        <v>1</v>
      </c>
      <c r="H465">
        <v>0</v>
      </c>
      <c r="I465">
        <v>0</v>
      </c>
    </row>
    <row r="466" spans="1:9">
      <c r="A466" t="s">
        <v>484</v>
      </c>
      <c r="B466" t="s">
        <v>29</v>
      </c>
      <c r="C466" t="str">
        <f t="shared" si="14"/>
        <v>B</v>
      </c>
      <c r="D466" t="s">
        <v>20</v>
      </c>
      <c r="E466" t="s">
        <v>10</v>
      </c>
      <c r="F466" t="str">
        <f t="shared" si="15"/>
        <v>Mobile</v>
      </c>
      <c r="G466">
        <v>6</v>
      </c>
      <c r="H466">
        <v>0</v>
      </c>
      <c r="I466">
        <v>0</v>
      </c>
    </row>
    <row r="467" spans="1:9">
      <c r="A467" t="s">
        <v>485</v>
      </c>
      <c r="B467" t="s">
        <v>8</v>
      </c>
      <c r="C467" t="str">
        <f t="shared" si="14"/>
        <v>A</v>
      </c>
      <c r="D467" t="s">
        <v>9</v>
      </c>
      <c r="E467" t="s">
        <v>10</v>
      </c>
      <c r="F467" t="str">
        <f t="shared" si="15"/>
        <v>Mobile</v>
      </c>
      <c r="G467">
        <v>5</v>
      </c>
      <c r="H467">
        <v>0</v>
      </c>
      <c r="I467">
        <v>0</v>
      </c>
    </row>
    <row r="468" spans="1:9">
      <c r="A468" t="s">
        <v>486</v>
      </c>
      <c r="B468" t="s">
        <v>15</v>
      </c>
      <c r="C468" t="str">
        <f t="shared" si="14"/>
        <v>B</v>
      </c>
      <c r="D468" t="s">
        <v>20</v>
      </c>
      <c r="E468" t="s">
        <v>23</v>
      </c>
      <c r="F468" t="str">
        <f t="shared" si="15"/>
        <v>Desktop</v>
      </c>
      <c r="G468">
        <v>5</v>
      </c>
      <c r="H468">
        <v>0</v>
      </c>
      <c r="I468">
        <v>0</v>
      </c>
    </row>
    <row r="469" spans="1:9">
      <c r="A469" t="s">
        <v>487</v>
      </c>
      <c r="B469" t="s">
        <v>29</v>
      </c>
      <c r="C469" t="str">
        <f t="shared" si="14"/>
        <v>B</v>
      </c>
      <c r="D469" t="s">
        <v>13</v>
      </c>
      <c r="E469" t="s">
        <v>23</v>
      </c>
      <c r="F469" t="str">
        <f t="shared" si="15"/>
        <v>Desktop</v>
      </c>
      <c r="G469">
        <v>10</v>
      </c>
      <c r="H469">
        <v>0</v>
      </c>
      <c r="I469">
        <v>0</v>
      </c>
    </row>
    <row r="470" spans="1:9">
      <c r="A470" t="s">
        <v>488</v>
      </c>
      <c r="B470" t="s">
        <v>15</v>
      </c>
      <c r="C470" t="str">
        <f t="shared" si="14"/>
        <v>B</v>
      </c>
      <c r="D470" t="s">
        <v>18</v>
      </c>
      <c r="E470" t="s">
        <v>10</v>
      </c>
      <c r="F470" t="str">
        <f t="shared" si="15"/>
        <v>Mobile</v>
      </c>
      <c r="G470">
        <v>3</v>
      </c>
      <c r="H470">
        <v>0</v>
      </c>
      <c r="I470">
        <v>0</v>
      </c>
    </row>
    <row r="471" spans="1:9">
      <c r="A471" t="s">
        <v>489</v>
      </c>
      <c r="B471" t="s">
        <v>15</v>
      </c>
      <c r="C471" t="str">
        <f t="shared" si="14"/>
        <v>B</v>
      </c>
      <c r="D471" t="s">
        <v>13</v>
      </c>
      <c r="E471" t="s">
        <v>23</v>
      </c>
      <c r="F471" t="str">
        <f t="shared" si="15"/>
        <v>Desktop</v>
      </c>
      <c r="G471">
        <v>4</v>
      </c>
      <c r="H471">
        <v>0</v>
      </c>
      <c r="I471">
        <v>0</v>
      </c>
    </row>
    <row r="472" spans="1:9">
      <c r="A472" t="s">
        <v>490</v>
      </c>
      <c r="B472" t="s">
        <v>15</v>
      </c>
      <c r="C472" t="str">
        <f t="shared" si="14"/>
        <v>B</v>
      </c>
      <c r="D472" t="s">
        <v>20</v>
      </c>
      <c r="E472" t="s">
        <v>10</v>
      </c>
      <c r="F472" t="str">
        <f t="shared" si="15"/>
        <v>Mobile</v>
      </c>
      <c r="G472">
        <v>6</v>
      </c>
      <c r="H472">
        <v>0</v>
      </c>
      <c r="I472">
        <v>0</v>
      </c>
    </row>
    <row r="473" spans="1:9">
      <c r="A473" t="s">
        <v>491</v>
      </c>
      <c r="B473" t="s">
        <v>8</v>
      </c>
      <c r="C473" t="str">
        <f t="shared" si="14"/>
        <v>A</v>
      </c>
      <c r="D473" t="s">
        <v>13</v>
      </c>
      <c r="E473" t="s">
        <v>10</v>
      </c>
      <c r="F473" t="str">
        <f t="shared" si="15"/>
        <v>Mobile</v>
      </c>
      <c r="G473">
        <v>10</v>
      </c>
      <c r="H473">
        <v>0</v>
      </c>
      <c r="I473">
        <v>0</v>
      </c>
    </row>
    <row r="474" spans="1:9">
      <c r="A474" t="s">
        <v>492</v>
      </c>
      <c r="B474" t="s">
        <v>15</v>
      </c>
      <c r="C474" t="str">
        <f t="shared" si="14"/>
        <v>B</v>
      </c>
      <c r="D474" t="s">
        <v>9</v>
      </c>
      <c r="E474" t="s">
        <v>23</v>
      </c>
      <c r="F474" t="str">
        <f t="shared" si="15"/>
        <v>Desktop</v>
      </c>
      <c r="G474">
        <v>8</v>
      </c>
      <c r="H474">
        <v>1</v>
      </c>
      <c r="I474">
        <v>5391.78</v>
      </c>
    </row>
    <row r="475" spans="1:9">
      <c r="A475" t="s">
        <v>493</v>
      </c>
      <c r="B475" t="s">
        <v>15</v>
      </c>
      <c r="C475" t="str">
        <f t="shared" si="14"/>
        <v>B</v>
      </c>
      <c r="D475" t="s">
        <v>13</v>
      </c>
      <c r="E475" t="s">
        <v>23</v>
      </c>
      <c r="F475" t="str">
        <f t="shared" si="15"/>
        <v>Desktop</v>
      </c>
      <c r="G475">
        <v>7</v>
      </c>
      <c r="H475">
        <v>0</v>
      </c>
      <c r="I475">
        <v>0</v>
      </c>
    </row>
    <row r="476" spans="1:9">
      <c r="A476" t="s">
        <v>494</v>
      </c>
      <c r="B476" t="s">
        <v>15</v>
      </c>
      <c r="C476" t="str">
        <f t="shared" si="14"/>
        <v>B</v>
      </c>
      <c r="D476" t="s">
        <v>18</v>
      </c>
      <c r="E476" t="s">
        <v>83</v>
      </c>
      <c r="F476" t="str">
        <f t="shared" si="15"/>
        <v>Tablet</v>
      </c>
      <c r="G476">
        <v>4</v>
      </c>
      <c r="H476">
        <v>1</v>
      </c>
      <c r="I476">
        <v>1332.01</v>
      </c>
    </row>
    <row r="477" spans="1:9">
      <c r="A477" t="s">
        <v>495</v>
      </c>
      <c r="B477" t="s">
        <v>8</v>
      </c>
      <c r="C477" t="str">
        <f t="shared" si="14"/>
        <v>A</v>
      </c>
      <c r="D477" t="s">
        <v>20</v>
      </c>
      <c r="E477" t="s">
        <v>10</v>
      </c>
      <c r="F477" t="str">
        <f t="shared" si="15"/>
        <v>Mobile</v>
      </c>
      <c r="G477">
        <v>6</v>
      </c>
      <c r="H477">
        <v>0</v>
      </c>
      <c r="I477">
        <v>0</v>
      </c>
    </row>
    <row r="478" spans="1:9">
      <c r="A478" t="s">
        <v>496</v>
      </c>
      <c r="B478" t="s">
        <v>8</v>
      </c>
      <c r="C478" t="str">
        <f t="shared" si="14"/>
        <v>A</v>
      </c>
      <c r="D478" t="s">
        <v>13</v>
      </c>
      <c r="E478" t="s">
        <v>23</v>
      </c>
      <c r="F478" t="str">
        <f t="shared" si="15"/>
        <v>Desktop</v>
      </c>
      <c r="G478">
        <v>6</v>
      </c>
      <c r="H478">
        <v>0</v>
      </c>
      <c r="I478">
        <v>0</v>
      </c>
    </row>
    <row r="479" spans="1:9">
      <c r="A479" t="s">
        <v>497</v>
      </c>
      <c r="B479" t="s">
        <v>12</v>
      </c>
      <c r="C479" t="str">
        <f t="shared" si="14"/>
        <v>A</v>
      </c>
      <c r="D479" t="s">
        <v>13</v>
      </c>
      <c r="E479" t="s">
        <v>23</v>
      </c>
      <c r="F479" t="str">
        <f t="shared" si="15"/>
        <v>Desktop</v>
      </c>
      <c r="G479">
        <v>5</v>
      </c>
      <c r="H479">
        <v>0</v>
      </c>
      <c r="I479">
        <v>0</v>
      </c>
    </row>
    <row r="480" spans="1:9">
      <c r="A480" t="s">
        <v>498</v>
      </c>
      <c r="B480" t="s">
        <v>15</v>
      </c>
      <c r="C480" t="str">
        <f t="shared" si="14"/>
        <v>B</v>
      </c>
      <c r="D480" t="s">
        <v>9</v>
      </c>
      <c r="E480" t="s">
        <v>33</v>
      </c>
      <c r="F480" t="str">
        <f t="shared" si="15"/>
        <v>Desktop</v>
      </c>
      <c r="G480">
        <v>4</v>
      </c>
      <c r="H480">
        <v>1</v>
      </c>
      <c r="I480">
        <v>4632.2299999999996</v>
      </c>
    </row>
    <row r="481" spans="1:9">
      <c r="A481" t="s">
        <v>499</v>
      </c>
      <c r="B481" t="s">
        <v>8</v>
      </c>
      <c r="C481" t="str">
        <f t="shared" si="14"/>
        <v>A</v>
      </c>
      <c r="D481" t="s">
        <v>20</v>
      </c>
      <c r="E481" t="s">
        <v>10</v>
      </c>
      <c r="F481" t="str">
        <f t="shared" si="15"/>
        <v>Mobile</v>
      </c>
      <c r="G481">
        <v>4</v>
      </c>
      <c r="H481">
        <v>1</v>
      </c>
      <c r="I481">
        <v>1613.44</v>
      </c>
    </row>
    <row r="482" spans="1:9">
      <c r="A482" t="s">
        <v>500</v>
      </c>
      <c r="B482" t="s">
        <v>15</v>
      </c>
      <c r="C482" t="str">
        <f t="shared" si="14"/>
        <v>B</v>
      </c>
      <c r="D482" t="s">
        <v>9</v>
      </c>
      <c r="E482" t="s">
        <v>23</v>
      </c>
      <c r="F482" t="str">
        <f t="shared" si="15"/>
        <v>Desktop</v>
      </c>
      <c r="G482">
        <v>5</v>
      </c>
      <c r="H482">
        <v>0</v>
      </c>
      <c r="I482">
        <v>0</v>
      </c>
    </row>
    <row r="483" spans="1:9">
      <c r="A483" t="s">
        <v>501</v>
      </c>
      <c r="B483" t="s">
        <v>8</v>
      </c>
      <c r="C483" t="str">
        <f t="shared" si="14"/>
        <v>A</v>
      </c>
      <c r="D483" t="s">
        <v>13</v>
      </c>
      <c r="E483" t="s">
        <v>23</v>
      </c>
      <c r="F483" t="str">
        <f t="shared" si="15"/>
        <v>Desktop</v>
      </c>
      <c r="G483">
        <v>7</v>
      </c>
      <c r="H483">
        <v>0</v>
      </c>
      <c r="I483">
        <v>0</v>
      </c>
    </row>
    <row r="484" spans="1:9">
      <c r="A484" t="s">
        <v>502</v>
      </c>
      <c r="B484" t="s">
        <v>8</v>
      </c>
      <c r="C484" t="str">
        <f t="shared" si="14"/>
        <v>A</v>
      </c>
      <c r="D484" t="s">
        <v>20</v>
      </c>
      <c r="E484" t="s">
        <v>10</v>
      </c>
      <c r="F484" t="str">
        <f t="shared" si="15"/>
        <v>Mobile</v>
      </c>
      <c r="G484">
        <v>5</v>
      </c>
      <c r="H484">
        <v>0</v>
      </c>
      <c r="I484">
        <v>0</v>
      </c>
    </row>
    <row r="485" spans="1:9">
      <c r="A485" t="s">
        <v>503</v>
      </c>
      <c r="B485" t="s">
        <v>15</v>
      </c>
      <c r="C485" t="str">
        <f t="shared" si="14"/>
        <v>B</v>
      </c>
      <c r="D485" t="s">
        <v>20</v>
      </c>
      <c r="E485" t="s">
        <v>10</v>
      </c>
      <c r="F485" t="str">
        <f t="shared" si="15"/>
        <v>Mobile</v>
      </c>
      <c r="G485">
        <v>6</v>
      </c>
      <c r="H485">
        <v>1</v>
      </c>
      <c r="I485">
        <v>1427.82</v>
      </c>
    </row>
    <row r="486" spans="1:9">
      <c r="A486" t="s">
        <v>504</v>
      </c>
      <c r="B486" t="s">
        <v>8</v>
      </c>
      <c r="C486" t="str">
        <f t="shared" si="14"/>
        <v>A</v>
      </c>
      <c r="D486" t="s">
        <v>9</v>
      </c>
      <c r="E486" t="s">
        <v>10</v>
      </c>
      <c r="F486" t="str">
        <f t="shared" si="15"/>
        <v>Mobile</v>
      </c>
      <c r="G486">
        <v>8</v>
      </c>
      <c r="H486">
        <v>0</v>
      </c>
      <c r="I486">
        <v>0</v>
      </c>
    </row>
    <row r="487" spans="1:9">
      <c r="A487" t="s">
        <v>505</v>
      </c>
      <c r="B487" t="s">
        <v>15</v>
      </c>
      <c r="C487" t="str">
        <f t="shared" si="14"/>
        <v>B</v>
      </c>
      <c r="D487" t="s">
        <v>20</v>
      </c>
      <c r="E487" t="s">
        <v>23</v>
      </c>
      <c r="F487" t="str">
        <f t="shared" si="15"/>
        <v>Desktop</v>
      </c>
      <c r="G487">
        <v>5</v>
      </c>
      <c r="H487">
        <v>0</v>
      </c>
      <c r="I487">
        <v>0</v>
      </c>
    </row>
    <row r="488" spans="1:9">
      <c r="A488" t="s">
        <v>506</v>
      </c>
      <c r="B488" t="s">
        <v>8</v>
      </c>
      <c r="C488" t="str">
        <f t="shared" si="14"/>
        <v>A</v>
      </c>
      <c r="D488" t="s">
        <v>20</v>
      </c>
      <c r="E488" t="s">
        <v>16</v>
      </c>
      <c r="F488" t="str">
        <f t="shared" si="15"/>
        <v>Mobile</v>
      </c>
      <c r="G488">
        <v>4</v>
      </c>
      <c r="H488">
        <v>0</v>
      </c>
      <c r="I488">
        <v>0</v>
      </c>
    </row>
    <row r="489" spans="1:9">
      <c r="A489" t="s">
        <v>507</v>
      </c>
      <c r="B489" t="s">
        <v>29</v>
      </c>
      <c r="C489" t="str">
        <f t="shared" si="14"/>
        <v>B</v>
      </c>
      <c r="D489" t="s">
        <v>20</v>
      </c>
      <c r="E489" t="s">
        <v>23</v>
      </c>
      <c r="F489" t="str">
        <f t="shared" si="15"/>
        <v>Desktop</v>
      </c>
      <c r="G489">
        <v>6</v>
      </c>
      <c r="H489">
        <v>0</v>
      </c>
      <c r="I489">
        <v>0</v>
      </c>
    </row>
    <row r="490" spans="1:9">
      <c r="A490" t="s">
        <v>508</v>
      </c>
      <c r="B490" t="s">
        <v>29</v>
      </c>
      <c r="C490" t="str">
        <f t="shared" si="14"/>
        <v>B</v>
      </c>
      <c r="D490" t="s">
        <v>9</v>
      </c>
      <c r="E490" t="s">
        <v>23</v>
      </c>
      <c r="F490" t="str">
        <f t="shared" si="15"/>
        <v>Desktop</v>
      </c>
      <c r="G490">
        <v>7</v>
      </c>
      <c r="H490">
        <v>0</v>
      </c>
      <c r="I490">
        <v>0</v>
      </c>
    </row>
    <row r="491" spans="1:9">
      <c r="A491" t="s">
        <v>509</v>
      </c>
      <c r="B491" t="s">
        <v>15</v>
      </c>
      <c r="C491" t="str">
        <f t="shared" si="14"/>
        <v>B</v>
      </c>
      <c r="D491" t="s">
        <v>13</v>
      </c>
      <c r="E491" t="s">
        <v>10</v>
      </c>
      <c r="F491" t="str">
        <f t="shared" si="15"/>
        <v>Mobile</v>
      </c>
      <c r="G491">
        <v>7</v>
      </c>
      <c r="H491">
        <v>0</v>
      </c>
      <c r="I491">
        <v>0</v>
      </c>
    </row>
    <row r="492" spans="1:9">
      <c r="A492" t="s">
        <v>510</v>
      </c>
      <c r="B492" t="s">
        <v>15</v>
      </c>
      <c r="C492" t="str">
        <f t="shared" si="14"/>
        <v>B</v>
      </c>
      <c r="D492" t="s">
        <v>9</v>
      </c>
      <c r="E492" t="s">
        <v>10</v>
      </c>
      <c r="F492" t="str">
        <f t="shared" si="15"/>
        <v>Mobile</v>
      </c>
      <c r="G492">
        <v>8</v>
      </c>
      <c r="H492">
        <v>0</v>
      </c>
      <c r="I492">
        <v>0</v>
      </c>
    </row>
    <row r="493" spans="1:9">
      <c r="A493" t="s">
        <v>511</v>
      </c>
      <c r="B493" t="s">
        <v>8</v>
      </c>
      <c r="C493" t="str">
        <f t="shared" si="14"/>
        <v>A</v>
      </c>
      <c r="D493" t="s">
        <v>20</v>
      </c>
      <c r="E493" t="s">
        <v>10</v>
      </c>
      <c r="F493" t="str">
        <f t="shared" si="15"/>
        <v>Mobile</v>
      </c>
      <c r="G493">
        <v>9</v>
      </c>
      <c r="H493">
        <v>0</v>
      </c>
      <c r="I493">
        <v>0</v>
      </c>
    </row>
    <row r="494" spans="1:9">
      <c r="A494" t="s">
        <v>512</v>
      </c>
      <c r="B494" t="s">
        <v>15</v>
      </c>
      <c r="C494" t="str">
        <f t="shared" si="14"/>
        <v>B</v>
      </c>
      <c r="D494" t="s">
        <v>13</v>
      </c>
      <c r="E494" t="s">
        <v>10</v>
      </c>
      <c r="F494" t="str">
        <f t="shared" si="15"/>
        <v>Mobile</v>
      </c>
      <c r="G494">
        <v>1</v>
      </c>
      <c r="H494">
        <v>0</v>
      </c>
      <c r="I494">
        <v>0</v>
      </c>
    </row>
    <row r="495" spans="1:9">
      <c r="A495" t="s">
        <v>513</v>
      </c>
      <c r="B495" t="s">
        <v>15</v>
      </c>
      <c r="C495" t="str">
        <f t="shared" si="14"/>
        <v>B</v>
      </c>
      <c r="D495" t="s">
        <v>13</v>
      </c>
      <c r="E495" t="s">
        <v>10</v>
      </c>
      <c r="F495" t="str">
        <f t="shared" si="15"/>
        <v>Mobile</v>
      </c>
      <c r="G495">
        <v>12</v>
      </c>
      <c r="H495">
        <v>0</v>
      </c>
      <c r="I495">
        <v>0</v>
      </c>
    </row>
    <row r="496" spans="1:9">
      <c r="A496" t="s">
        <v>514</v>
      </c>
      <c r="B496" t="s">
        <v>8</v>
      </c>
      <c r="C496" t="str">
        <f t="shared" si="14"/>
        <v>A</v>
      </c>
      <c r="D496" t="s">
        <v>9</v>
      </c>
      <c r="E496" t="s">
        <v>10</v>
      </c>
      <c r="F496" t="str">
        <f t="shared" si="15"/>
        <v>Mobile</v>
      </c>
      <c r="G496">
        <v>3</v>
      </c>
      <c r="H496">
        <v>1</v>
      </c>
      <c r="I496">
        <v>3774.49</v>
      </c>
    </row>
    <row r="497" spans="1:9">
      <c r="A497" t="s">
        <v>515</v>
      </c>
      <c r="B497" t="s">
        <v>15</v>
      </c>
      <c r="C497" t="str">
        <f t="shared" si="14"/>
        <v>B</v>
      </c>
      <c r="D497" t="s">
        <v>9</v>
      </c>
      <c r="E497" t="s">
        <v>10</v>
      </c>
      <c r="F497" t="str">
        <f t="shared" si="15"/>
        <v>Mobile</v>
      </c>
      <c r="G497">
        <v>13</v>
      </c>
      <c r="H497">
        <v>0</v>
      </c>
      <c r="I497">
        <v>0</v>
      </c>
    </row>
    <row r="498" spans="1:9">
      <c r="A498" t="s">
        <v>516</v>
      </c>
      <c r="B498" t="s">
        <v>15</v>
      </c>
      <c r="C498" t="str">
        <f t="shared" si="14"/>
        <v>B</v>
      </c>
      <c r="D498" t="s">
        <v>20</v>
      </c>
      <c r="E498" t="s">
        <v>10</v>
      </c>
      <c r="F498" t="str">
        <f t="shared" si="15"/>
        <v>Mobile</v>
      </c>
      <c r="G498">
        <v>7</v>
      </c>
      <c r="H498">
        <v>1</v>
      </c>
      <c r="I498">
        <v>1046.92</v>
      </c>
    </row>
    <row r="499" spans="1:9">
      <c r="A499" t="s">
        <v>517</v>
      </c>
      <c r="B499" t="s">
        <v>12</v>
      </c>
      <c r="C499" t="str">
        <f t="shared" si="14"/>
        <v>A</v>
      </c>
      <c r="D499" t="s">
        <v>13</v>
      </c>
      <c r="E499" t="s">
        <v>10</v>
      </c>
      <c r="F499" t="str">
        <f t="shared" si="15"/>
        <v>Mobile</v>
      </c>
      <c r="G499">
        <v>3</v>
      </c>
      <c r="H499">
        <v>0</v>
      </c>
      <c r="I499">
        <v>0</v>
      </c>
    </row>
    <row r="500" spans="1:9">
      <c r="A500" t="s">
        <v>518</v>
      </c>
      <c r="B500" t="s">
        <v>15</v>
      </c>
      <c r="C500" t="str">
        <f t="shared" si="14"/>
        <v>B</v>
      </c>
      <c r="D500" t="s">
        <v>20</v>
      </c>
      <c r="E500" t="s">
        <v>10</v>
      </c>
      <c r="F500" t="str">
        <f t="shared" si="15"/>
        <v>Mobile</v>
      </c>
      <c r="G500">
        <v>1</v>
      </c>
      <c r="H500">
        <v>0</v>
      </c>
      <c r="I500">
        <v>0</v>
      </c>
    </row>
    <row r="501" spans="1:9">
      <c r="A501" t="s">
        <v>519</v>
      </c>
      <c r="B501" t="s">
        <v>15</v>
      </c>
      <c r="C501" t="str">
        <f t="shared" si="14"/>
        <v>B</v>
      </c>
      <c r="D501" t="s">
        <v>13</v>
      </c>
      <c r="E501" t="s">
        <v>10</v>
      </c>
      <c r="F501" t="str">
        <f t="shared" si="15"/>
        <v>Mobile</v>
      </c>
      <c r="G501">
        <v>12</v>
      </c>
      <c r="H501">
        <v>1</v>
      </c>
      <c r="I501">
        <v>3188.45</v>
      </c>
    </row>
    <row r="502" spans="1:9">
      <c r="A502" t="s">
        <v>520</v>
      </c>
      <c r="B502" t="s">
        <v>8</v>
      </c>
      <c r="C502" t="str">
        <f t="shared" si="14"/>
        <v>A</v>
      </c>
      <c r="D502" t="s">
        <v>20</v>
      </c>
      <c r="E502" t="s">
        <v>33</v>
      </c>
      <c r="F502" t="str">
        <f t="shared" si="15"/>
        <v>Desktop</v>
      </c>
      <c r="G502">
        <v>4</v>
      </c>
      <c r="H502">
        <v>0</v>
      </c>
      <c r="I502">
        <v>0</v>
      </c>
    </row>
    <row r="503" spans="1:9">
      <c r="A503" t="s">
        <v>521</v>
      </c>
      <c r="B503" t="s">
        <v>12</v>
      </c>
      <c r="C503" t="str">
        <f t="shared" si="14"/>
        <v>A</v>
      </c>
      <c r="D503" t="s">
        <v>20</v>
      </c>
      <c r="E503" t="s">
        <v>16</v>
      </c>
      <c r="F503" t="str">
        <f t="shared" si="15"/>
        <v>Mobile</v>
      </c>
      <c r="G503">
        <v>2</v>
      </c>
      <c r="H503">
        <v>0</v>
      </c>
      <c r="I503">
        <v>0</v>
      </c>
    </row>
    <row r="504" spans="1:9">
      <c r="A504" t="s">
        <v>522</v>
      </c>
      <c r="B504" t="s">
        <v>15</v>
      </c>
      <c r="C504" t="str">
        <f t="shared" si="14"/>
        <v>B</v>
      </c>
      <c r="D504" t="s">
        <v>20</v>
      </c>
      <c r="E504" t="s">
        <v>23</v>
      </c>
      <c r="F504" t="str">
        <f t="shared" si="15"/>
        <v>Desktop</v>
      </c>
      <c r="G504">
        <v>8</v>
      </c>
      <c r="H504">
        <v>0</v>
      </c>
      <c r="I504">
        <v>0</v>
      </c>
    </row>
    <row r="505" spans="1:9">
      <c r="A505" t="s">
        <v>523</v>
      </c>
      <c r="B505" t="s">
        <v>8</v>
      </c>
      <c r="C505" t="str">
        <f t="shared" si="14"/>
        <v>A</v>
      </c>
      <c r="D505" t="s">
        <v>13</v>
      </c>
      <c r="E505" t="s">
        <v>10</v>
      </c>
      <c r="F505" t="str">
        <f t="shared" si="15"/>
        <v>Mobile</v>
      </c>
      <c r="G505">
        <v>3</v>
      </c>
      <c r="H505">
        <v>0</v>
      </c>
      <c r="I505">
        <v>0</v>
      </c>
    </row>
    <row r="506" spans="1:9">
      <c r="A506" t="s">
        <v>524</v>
      </c>
      <c r="B506" t="s">
        <v>8</v>
      </c>
      <c r="C506" t="str">
        <f t="shared" si="14"/>
        <v>A</v>
      </c>
      <c r="D506" t="s">
        <v>20</v>
      </c>
      <c r="E506" t="s">
        <v>23</v>
      </c>
      <c r="F506" t="str">
        <f t="shared" si="15"/>
        <v>Desktop</v>
      </c>
      <c r="G506">
        <v>4</v>
      </c>
      <c r="H506">
        <v>1</v>
      </c>
      <c r="I506">
        <v>1102.54</v>
      </c>
    </row>
    <row r="507" spans="1:9">
      <c r="A507" t="s">
        <v>525</v>
      </c>
      <c r="B507" t="s">
        <v>8</v>
      </c>
      <c r="C507" t="str">
        <f t="shared" si="14"/>
        <v>A</v>
      </c>
      <c r="D507" t="s">
        <v>13</v>
      </c>
      <c r="E507" t="s">
        <v>23</v>
      </c>
      <c r="F507" t="str">
        <f t="shared" si="15"/>
        <v>Desktop</v>
      </c>
      <c r="G507">
        <v>4</v>
      </c>
      <c r="H507">
        <v>0</v>
      </c>
      <c r="I507">
        <v>0</v>
      </c>
    </row>
    <row r="508" spans="1:9">
      <c r="A508" t="s">
        <v>526</v>
      </c>
      <c r="B508" t="s">
        <v>15</v>
      </c>
      <c r="C508" t="str">
        <f t="shared" si="14"/>
        <v>B</v>
      </c>
      <c r="D508" t="s">
        <v>20</v>
      </c>
      <c r="E508" t="s">
        <v>23</v>
      </c>
      <c r="F508" t="str">
        <f t="shared" si="15"/>
        <v>Desktop</v>
      </c>
      <c r="G508">
        <v>6</v>
      </c>
      <c r="H508">
        <v>0</v>
      </c>
      <c r="I508">
        <v>0</v>
      </c>
    </row>
    <row r="509" spans="1:9">
      <c r="A509" t="s">
        <v>527</v>
      </c>
      <c r="B509" t="s">
        <v>29</v>
      </c>
      <c r="C509" t="str">
        <f t="shared" si="14"/>
        <v>B</v>
      </c>
      <c r="D509" t="s">
        <v>20</v>
      </c>
      <c r="E509" t="s">
        <v>10</v>
      </c>
      <c r="F509" t="str">
        <f t="shared" si="15"/>
        <v>Mobile</v>
      </c>
      <c r="G509">
        <v>9</v>
      </c>
      <c r="H509">
        <v>0</v>
      </c>
      <c r="I509">
        <v>0</v>
      </c>
    </row>
    <row r="510" spans="1:9">
      <c r="A510" t="s">
        <v>528</v>
      </c>
      <c r="B510" t="s">
        <v>8</v>
      </c>
      <c r="C510" t="str">
        <f t="shared" si="14"/>
        <v>A</v>
      </c>
      <c r="D510" t="s">
        <v>9</v>
      </c>
      <c r="E510" t="s">
        <v>23</v>
      </c>
      <c r="F510" t="str">
        <f t="shared" si="15"/>
        <v>Desktop</v>
      </c>
      <c r="G510">
        <v>10</v>
      </c>
      <c r="H510">
        <v>0</v>
      </c>
      <c r="I510">
        <v>0</v>
      </c>
    </row>
    <row r="511" spans="1:9">
      <c r="A511" t="s">
        <v>529</v>
      </c>
      <c r="B511" t="s">
        <v>15</v>
      </c>
      <c r="C511" t="str">
        <f t="shared" si="14"/>
        <v>B</v>
      </c>
      <c r="D511" t="s">
        <v>20</v>
      </c>
      <c r="E511" t="s">
        <v>16</v>
      </c>
      <c r="F511" t="str">
        <f t="shared" si="15"/>
        <v>Mobile</v>
      </c>
      <c r="G511">
        <v>7</v>
      </c>
      <c r="H511">
        <v>0</v>
      </c>
      <c r="I511">
        <v>0</v>
      </c>
    </row>
    <row r="512" spans="1:9">
      <c r="A512" t="s">
        <v>530</v>
      </c>
      <c r="B512" t="s">
        <v>8</v>
      </c>
      <c r="C512" t="str">
        <f t="shared" si="14"/>
        <v>A</v>
      </c>
      <c r="D512" t="s">
        <v>13</v>
      </c>
      <c r="E512" t="s">
        <v>23</v>
      </c>
      <c r="F512" t="str">
        <f t="shared" si="15"/>
        <v>Desktop</v>
      </c>
      <c r="G512">
        <v>6</v>
      </c>
      <c r="H512">
        <v>0</v>
      </c>
      <c r="I512">
        <v>0</v>
      </c>
    </row>
    <row r="513" spans="1:9">
      <c r="A513" t="s">
        <v>531</v>
      </c>
      <c r="B513" t="s">
        <v>29</v>
      </c>
      <c r="C513" t="str">
        <f t="shared" si="14"/>
        <v>B</v>
      </c>
      <c r="D513" t="s">
        <v>13</v>
      </c>
      <c r="E513" t="s">
        <v>23</v>
      </c>
      <c r="F513" t="str">
        <f t="shared" si="15"/>
        <v>Desktop</v>
      </c>
      <c r="G513">
        <v>5</v>
      </c>
      <c r="H513">
        <v>1</v>
      </c>
      <c r="I513">
        <v>1367</v>
      </c>
    </row>
    <row r="514" spans="1:9">
      <c r="A514" t="s">
        <v>532</v>
      </c>
      <c r="B514" t="s">
        <v>15</v>
      </c>
      <c r="C514" t="str">
        <f t="shared" ref="C514:C577" si="16">IF(OR(B514="control", B514="A"), "A", "B")</f>
        <v>B</v>
      </c>
      <c r="D514" t="s">
        <v>20</v>
      </c>
      <c r="E514" t="s">
        <v>10</v>
      </c>
      <c r="F514" t="str">
        <f t="shared" ref="F514:F577" si="17">PROPER(E514)</f>
        <v>Mobile</v>
      </c>
      <c r="G514">
        <v>10</v>
      </c>
      <c r="H514">
        <v>0</v>
      </c>
      <c r="I514">
        <v>0</v>
      </c>
    </row>
    <row r="515" spans="1:9">
      <c r="A515" t="s">
        <v>533</v>
      </c>
      <c r="B515" t="s">
        <v>15</v>
      </c>
      <c r="C515" t="str">
        <f t="shared" si="16"/>
        <v>B</v>
      </c>
      <c r="D515" t="s">
        <v>20</v>
      </c>
      <c r="E515" t="s">
        <v>23</v>
      </c>
      <c r="F515" t="str">
        <f t="shared" si="17"/>
        <v>Desktop</v>
      </c>
      <c r="G515">
        <v>8</v>
      </c>
      <c r="H515">
        <v>0</v>
      </c>
      <c r="I515">
        <v>0</v>
      </c>
    </row>
    <row r="516" spans="1:9">
      <c r="A516" t="s">
        <v>534</v>
      </c>
      <c r="B516" t="s">
        <v>15</v>
      </c>
      <c r="C516" t="str">
        <f t="shared" si="16"/>
        <v>B</v>
      </c>
      <c r="D516" t="s">
        <v>20</v>
      </c>
      <c r="E516" t="s">
        <v>10</v>
      </c>
      <c r="F516" t="str">
        <f t="shared" si="17"/>
        <v>Mobile</v>
      </c>
      <c r="G516">
        <v>5</v>
      </c>
      <c r="H516">
        <v>0</v>
      </c>
      <c r="I516">
        <v>0</v>
      </c>
    </row>
    <row r="517" spans="1:9">
      <c r="A517" t="s">
        <v>535</v>
      </c>
      <c r="B517" t="s">
        <v>8</v>
      </c>
      <c r="C517" t="str">
        <f t="shared" si="16"/>
        <v>A</v>
      </c>
      <c r="D517" t="s">
        <v>18</v>
      </c>
      <c r="E517" t="s">
        <v>23</v>
      </c>
      <c r="F517" t="str">
        <f t="shared" si="17"/>
        <v>Desktop</v>
      </c>
      <c r="G517">
        <v>8</v>
      </c>
      <c r="H517">
        <v>0</v>
      </c>
      <c r="I517">
        <v>0</v>
      </c>
    </row>
    <row r="518" spans="1:9">
      <c r="A518" t="s">
        <v>536</v>
      </c>
      <c r="B518" t="s">
        <v>8</v>
      </c>
      <c r="C518" t="str">
        <f t="shared" si="16"/>
        <v>A</v>
      </c>
      <c r="D518" t="s">
        <v>13</v>
      </c>
      <c r="E518" t="s">
        <v>10</v>
      </c>
      <c r="F518" t="str">
        <f t="shared" si="17"/>
        <v>Mobile</v>
      </c>
      <c r="G518">
        <v>6</v>
      </c>
      <c r="H518">
        <v>0</v>
      </c>
      <c r="I518">
        <v>0</v>
      </c>
    </row>
    <row r="519" spans="1:9">
      <c r="A519" t="s">
        <v>537</v>
      </c>
      <c r="B519" t="s">
        <v>8</v>
      </c>
      <c r="C519" t="str">
        <f t="shared" si="16"/>
        <v>A</v>
      </c>
      <c r="D519" t="s">
        <v>13</v>
      </c>
      <c r="E519" t="s">
        <v>10</v>
      </c>
      <c r="F519" t="str">
        <f t="shared" si="17"/>
        <v>Mobile</v>
      </c>
      <c r="G519">
        <v>8</v>
      </c>
      <c r="H519">
        <v>0</v>
      </c>
      <c r="I519">
        <v>0</v>
      </c>
    </row>
    <row r="520" spans="1:9">
      <c r="A520" t="s">
        <v>538</v>
      </c>
      <c r="B520" t="s">
        <v>15</v>
      </c>
      <c r="C520" t="str">
        <f t="shared" si="16"/>
        <v>B</v>
      </c>
      <c r="D520" t="s">
        <v>13</v>
      </c>
      <c r="E520" t="s">
        <v>10</v>
      </c>
      <c r="F520" t="str">
        <f t="shared" si="17"/>
        <v>Mobile</v>
      </c>
      <c r="G520">
        <v>8</v>
      </c>
      <c r="H520">
        <v>0</v>
      </c>
      <c r="I520">
        <v>0</v>
      </c>
    </row>
    <row r="521" spans="1:9">
      <c r="A521" t="s">
        <v>539</v>
      </c>
      <c r="B521" t="s">
        <v>15</v>
      </c>
      <c r="C521" t="str">
        <f t="shared" si="16"/>
        <v>B</v>
      </c>
      <c r="D521" t="s">
        <v>20</v>
      </c>
      <c r="E521" t="s">
        <v>23</v>
      </c>
      <c r="F521" t="str">
        <f t="shared" si="17"/>
        <v>Desktop</v>
      </c>
      <c r="G521">
        <v>6</v>
      </c>
      <c r="H521">
        <v>0</v>
      </c>
      <c r="I521">
        <v>0</v>
      </c>
    </row>
    <row r="522" spans="1:9">
      <c r="A522" t="s">
        <v>540</v>
      </c>
      <c r="B522" t="s">
        <v>29</v>
      </c>
      <c r="C522" t="str">
        <f t="shared" si="16"/>
        <v>B</v>
      </c>
      <c r="D522" t="s">
        <v>20</v>
      </c>
      <c r="E522" t="s">
        <v>10</v>
      </c>
      <c r="F522" t="str">
        <f t="shared" si="17"/>
        <v>Mobile</v>
      </c>
      <c r="G522">
        <v>5</v>
      </c>
      <c r="H522">
        <v>0</v>
      </c>
      <c r="I522">
        <v>0</v>
      </c>
    </row>
    <row r="523" spans="1:9">
      <c r="A523" t="s">
        <v>541</v>
      </c>
      <c r="B523" t="s">
        <v>29</v>
      </c>
      <c r="C523" t="str">
        <f t="shared" si="16"/>
        <v>B</v>
      </c>
      <c r="D523" t="s">
        <v>13</v>
      </c>
      <c r="E523" t="s">
        <v>23</v>
      </c>
      <c r="F523" t="str">
        <f t="shared" si="17"/>
        <v>Desktop</v>
      </c>
      <c r="G523">
        <v>10</v>
      </c>
      <c r="H523">
        <v>0</v>
      </c>
      <c r="I523">
        <v>0</v>
      </c>
    </row>
    <row r="524" spans="1:9">
      <c r="A524" t="s">
        <v>542</v>
      </c>
      <c r="B524" t="s">
        <v>15</v>
      </c>
      <c r="C524" t="str">
        <f t="shared" si="16"/>
        <v>B</v>
      </c>
      <c r="D524" t="s">
        <v>20</v>
      </c>
      <c r="E524" t="s">
        <v>23</v>
      </c>
      <c r="F524" t="str">
        <f t="shared" si="17"/>
        <v>Desktop</v>
      </c>
      <c r="G524">
        <v>4</v>
      </c>
      <c r="H524">
        <v>0</v>
      </c>
      <c r="I524">
        <v>0</v>
      </c>
    </row>
    <row r="525" spans="1:9">
      <c r="A525" t="s">
        <v>543</v>
      </c>
      <c r="B525" t="s">
        <v>15</v>
      </c>
      <c r="C525" t="str">
        <f t="shared" si="16"/>
        <v>B</v>
      </c>
      <c r="D525" t="s">
        <v>20</v>
      </c>
      <c r="E525" t="s">
        <v>10</v>
      </c>
      <c r="F525" t="str">
        <f t="shared" si="17"/>
        <v>Mobile</v>
      </c>
      <c r="G525">
        <v>6</v>
      </c>
      <c r="H525">
        <v>0</v>
      </c>
      <c r="I525">
        <v>0</v>
      </c>
    </row>
    <row r="526" spans="1:9">
      <c r="A526" t="s">
        <v>544</v>
      </c>
      <c r="B526" t="s">
        <v>12</v>
      </c>
      <c r="C526" t="str">
        <f t="shared" si="16"/>
        <v>A</v>
      </c>
      <c r="D526" t="s">
        <v>20</v>
      </c>
      <c r="E526" t="s">
        <v>10</v>
      </c>
      <c r="F526" t="str">
        <f t="shared" si="17"/>
        <v>Mobile</v>
      </c>
      <c r="G526">
        <v>10</v>
      </c>
      <c r="H526">
        <v>0</v>
      </c>
      <c r="I526">
        <v>0</v>
      </c>
    </row>
    <row r="527" spans="1:9">
      <c r="A527" t="s">
        <v>545</v>
      </c>
      <c r="B527" t="s">
        <v>15</v>
      </c>
      <c r="C527" t="str">
        <f t="shared" si="16"/>
        <v>B</v>
      </c>
      <c r="D527" t="s">
        <v>13</v>
      </c>
      <c r="E527" t="s">
        <v>10</v>
      </c>
      <c r="F527" t="str">
        <f t="shared" si="17"/>
        <v>Mobile</v>
      </c>
      <c r="G527">
        <v>6</v>
      </c>
      <c r="H527">
        <v>1</v>
      </c>
      <c r="I527">
        <v>2382.6999999999998</v>
      </c>
    </row>
    <row r="528" spans="1:9">
      <c r="A528" t="s">
        <v>546</v>
      </c>
      <c r="B528" t="s">
        <v>8</v>
      </c>
      <c r="C528" t="str">
        <f t="shared" si="16"/>
        <v>A</v>
      </c>
      <c r="D528" t="s">
        <v>18</v>
      </c>
      <c r="E528" t="s">
        <v>16</v>
      </c>
      <c r="F528" t="str">
        <f t="shared" si="17"/>
        <v>Mobile</v>
      </c>
      <c r="G528">
        <v>5</v>
      </c>
      <c r="H528">
        <v>0</v>
      </c>
      <c r="I528">
        <v>0</v>
      </c>
    </row>
    <row r="529" spans="1:9">
      <c r="A529" t="s">
        <v>547</v>
      </c>
      <c r="B529" t="s">
        <v>8</v>
      </c>
      <c r="C529" t="str">
        <f t="shared" si="16"/>
        <v>A</v>
      </c>
      <c r="D529" t="s">
        <v>20</v>
      </c>
      <c r="E529" t="s">
        <v>23</v>
      </c>
      <c r="F529" t="str">
        <f t="shared" si="17"/>
        <v>Desktop</v>
      </c>
      <c r="G529">
        <v>11</v>
      </c>
      <c r="H529">
        <v>0</v>
      </c>
      <c r="I529">
        <v>0</v>
      </c>
    </row>
    <row r="530" spans="1:9">
      <c r="A530" t="s">
        <v>548</v>
      </c>
      <c r="B530" t="s">
        <v>8</v>
      </c>
      <c r="C530" t="str">
        <f t="shared" si="16"/>
        <v>A</v>
      </c>
      <c r="D530" t="s">
        <v>13</v>
      </c>
      <c r="E530" t="s">
        <v>10</v>
      </c>
      <c r="F530" t="str">
        <f t="shared" si="17"/>
        <v>Mobile</v>
      </c>
      <c r="G530">
        <v>6</v>
      </c>
      <c r="H530">
        <v>1</v>
      </c>
      <c r="I530">
        <v>2726.93</v>
      </c>
    </row>
    <row r="531" spans="1:9">
      <c r="A531" t="s">
        <v>549</v>
      </c>
      <c r="B531" t="s">
        <v>12</v>
      </c>
      <c r="C531" t="str">
        <f t="shared" si="16"/>
        <v>A</v>
      </c>
      <c r="D531" t="s">
        <v>20</v>
      </c>
      <c r="E531" t="s">
        <v>10</v>
      </c>
      <c r="F531" t="str">
        <f t="shared" si="17"/>
        <v>Mobile</v>
      </c>
      <c r="G531">
        <v>7</v>
      </c>
      <c r="H531">
        <v>0</v>
      </c>
      <c r="I531">
        <v>0</v>
      </c>
    </row>
    <row r="532" spans="1:9">
      <c r="A532" t="s">
        <v>550</v>
      </c>
      <c r="B532" t="s">
        <v>15</v>
      </c>
      <c r="C532" t="str">
        <f t="shared" si="16"/>
        <v>B</v>
      </c>
      <c r="D532" t="s">
        <v>18</v>
      </c>
      <c r="E532" t="s">
        <v>23</v>
      </c>
      <c r="F532" t="str">
        <f t="shared" si="17"/>
        <v>Desktop</v>
      </c>
      <c r="G532">
        <v>4</v>
      </c>
      <c r="H532">
        <v>0</v>
      </c>
      <c r="I532">
        <v>0</v>
      </c>
    </row>
    <row r="533" spans="1:9">
      <c r="A533" t="s">
        <v>551</v>
      </c>
      <c r="B533" t="s">
        <v>8</v>
      </c>
      <c r="C533" t="str">
        <f t="shared" si="16"/>
        <v>A</v>
      </c>
      <c r="D533" t="s">
        <v>20</v>
      </c>
      <c r="E533" t="s">
        <v>16</v>
      </c>
      <c r="F533" t="str">
        <f t="shared" si="17"/>
        <v>Mobile</v>
      </c>
      <c r="G533">
        <v>6</v>
      </c>
      <c r="H533">
        <v>0</v>
      </c>
      <c r="I533">
        <v>0</v>
      </c>
    </row>
    <row r="534" spans="1:9">
      <c r="A534" t="s">
        <v>552</v>
      </c>
      <c r="B534" t="s">
        <v>15</v>
      </c>
      <c r="C534" t="str">
        <f t="shared" si="16"/>
        <v>B</v>
      </c>
      <c r="D534" t="s">
        <v>20</v>
      </c>
      <c r="E534" t="s">
        <v>16</v>
      </c>
      <c r="F534" t="str">
        <f t="shared" si="17"/>
        <v>Mobile</v>
      </c>
      <c r="G534">
        <v>8</v>
      </c>
      <c r="H534">
        <v>0</v>
      </c>
      <c r="I534">
        <v>0</v>
      </c>
    </row>
    <row r="535" spans="1:9">
      <c r="A535" t="s">
        <v>553</v>
      </c>
      <c r="B535" t="s">
        <v>15</v>
      </c>
      <c r="C535" t="str">
        <f t="shared" si="16"/>
        <v>B</v>
      </c>
      <c r="D535" t="s">
        <v>13</v>
      </c>
      <c r="E535" t="s">
        <v>23</v>
      </c>
      <c r="F535" t="str">
        <f t="shared" si="17"/>
        <v>Desktop</v>
      </c>
      <c r="G535">
        <v>2</v>
      </c>
      <c r="H535">
        <v>0</v>
      </c>
      <c r="I535">
        <v>0</v>
      </c>
    </row>
    <row r="536" spans="1:9">
      <c r="A536" t="s">
        <v>554</v>
      </c>
      <c r="B536" t="s">
        <v>8</v>
      </c>
      <c r="C536" t="str">
        <f t="shared" si="16"/>
        <v>A</v>
      </c>
      <c r="D536" t="s">
        <v>13</v>
      </c>
      <c r="E536" t="s">
        <v>10</v>
      </c>
      <c r="F536" t="str">
        <f t="shared" si="17"/>
        <v>Mobile</v>
      </c>
      <c r="G536">
        <v>5</v>
      </c>
      <c r="H536">
        <v>0</v>
      </c>
      <c r="I536">
        <v>0</v>
      </c>
    </row>
    <row r="537" spans="1:9">
      <c r="A537" t="s">
        <v>555</v>
      </c>
      <c r="B537" t="s">
        <v>8</v>
      </c>
      <c r="C537" t="str">
        <f t="shared" si="16"/>
        <v>A</v>
      </c>
      <c r="D537" t="s">
        <v>13</v>
      </c>
      <c r="E537" t="s">
        <v>10</v>
      </c>
      <c r="F537" t="str">
        <f t="shared" si="17"/>
        <v>Mobile</v>
      </c>
      <c r="G537">
        <v>2</v>
      </c>
      <c r="H537">
        <v>0</v>
      </c>
      <c r="I537">
        <v>0</v>
      </c>
    </row>
    <row r="538" spans="1:9">
      <c r="A538" t="s">
        <v>556</v>
      </c>
      <c r="B538" t="s">
        <v>15</v>
      </c>
      <c r="C538" t="str">
        <f t="shared" si="16"/>
        <v>B</v>
      </c>
      <c r="D538" t="s">
        <v>20</v>
      </c>
      <c r="E538" t="s">
        <v>10</v>
      </c>
      <c r="F538" t="str">
        <f t="shared" si="17"/>
        <v>Mobile</v>
      </c>
      <c r="G538">
        <v>4</v>
      </c>
      <c r="H538">
        <v>0</v>
      </c>
      <c r="I538">
        <v>0</v>
      </c>
    </row>
    <row r="539" spans="1:9">
      <c r="A539" t="s">
        <v>557</v>
      </c>
      <c r="B539" t="s">
        <v>15</v>
      </c>
      <c r="C539" t="str">
        <f t="shared" si="16"/>
        <v>B</v>
      </c>
      <c r="D539" t="s">
        <v>20</v>
      </c>
      <c r="E539" t="s">
        <v>10</v>
      </c>
      <c r="F539" t="str">
        <f t="shared" si="17"/>
        <v>Mobile</v>
      </c>
      <c r="G539">
        <v>8</v>
      </c>
      <c r="H539">
        <v>0</v>
      </c>
      <c r="I539">
        <v>0</v>
      </c>
    </row>
    <row r="540" spans="1:9">
      <c r="A540" t="s">
        <v>558</v>
      </c>
      <c r="B540" t="s">
        <v>15</v>
      </c>
      <c r="C540" t="str">
        <f t="shared" si="16"/>
        <v>B</v>
      </c>
      <c r="D540" t="s">
        <v>20</v>
      </c>
      <c r="E540" t="s">
        <v>10</v>
      </c>
      <c r="F540" t="str">
        <f t="shared" si="17"/>
        <v>Mobile</v>
      </c>
      <c r="G540">
        <v>6</v>
      </c>
      <c r="H540">
        <v>0</v>
      </c>
      <c r="I540">
        <v>0</v>
      </c>
    </row>
    <row r="541" spans="1:9">
      <c r="A541" t="s">
        <v>559</v>
      </c>
      <c r="B541" t="s">
        <v>15</v>
      </c>
      <c r="C541" t="str">
        <f t="shared" si="16"/>
        <v>B</v>
      </c>
      <c r="D541" t="s">
        <v>20</v>
      </c>
      <c r="E541" t="s">
        <v>10</v>
      </c>
      <c r="F541" t="str">
        <f t="shared" si="17"/>
        <v>Mobile</v>
      </c>
      <c r="G541">
        <v>3</v>
      </c>
      <c r="H541">
        <v>0</v>
      </c>
      <c r="I541">
        <v>0</v>
      </c>
    </row>
    <row r="542" spans="1:9">
      <c r="A542" t="s">
        <v>560</v>
      </c>
      <c r="B542" t="s">
        <v>15</v>
      </c>
      <c r="C542" t="str">
        <f t="shared" si="16"/>
        <v>B</v>
      </c>
      <c r="D542" t="s">
        <v>13</v>
      </c>
      <c r="E542" t="s">
        <v>10</v>
      </c>
      <c r="F542" t="str">
        <f t="shared" si="17"/>
        <v>Mobile</v>
      </c>
      <c r="G542">
        <v>6</v>
      </c>
      <c r="H542">
        <v>0</v>
      </c>
      <c r="I542">
        <v>0</v>
      </c>
    </row>
    <row r="543" spans="1:9">
      <c r="A543" t="s">
        <v>561</v>
      </c>
      <c r="B543" t="s">
        <v>15</v>
      </c>
      <c r="C543" t="str">
        <f t="shared" si="16"/>
        <v>B</v>
      </c>
      <c r="D543" t="s">
        <v>20</v>
      </c>
      <c r="E543" t="s">
        <v>33</v>
      </c>
      <c r="F543" t="str">
        <f t="shared" si="17"/>
        <v>Desktop</v>
      </c>
      <c r="G543">
        <v>5</v>
      </c>
      <c r="H543">
        <v>0</v>
      </c>
      <c r="I543">
        <v>0</v>
      </c>
    </row>
    <row r="544" spans="1:9">
      <c r="A544" t="s">
        <v>562</v>
      </c>
      <c r="B544" t="s">
        <v>15</v>
      </c>
      <c r="C544" t="str">
        <f t="shared" si="16"/>
        <v>B</v>
      </c>
      <c r="D544" t="s">
        <v>20</v>
      </c>
      <c r="E544" t="s">
        <v>23</v>
      </c>
      <c r="F544" t="str">
        <f t="shared" si="17"/>
        <v>Desktop</v>
      </c>
      <c r="G544">
        <v>8</v>
      </c>
      <c r="H544">
        <v>0</v>
      </c>
      <c r="I544">
        <v>0</v>
      </c>
    </row>
    <row r="545" spans="1:9">
      <c r="A545" t="s">
        <v>563</v>
      </c>
      <c r="B545" t="s">
        <v>15</v>
      </c>
      <c r="C545" t="str">
        <f t="shared" si="16"/>
        <v>B</v>
      </c>
      <c r="D545" t="s">
        <v>13</v>
      </c>
      <c r="E545" t="s">
        <v>16</v>
      </c>
      <c r="F545" t="str">
        <f t="shared" si="17"/>
        <v>Mobile</v>
      </c>
      <c r="G545">
        <v>4</v>
      </c>
      <c r="H545">
        <v>0</v>
      </c>
      <c r="I545">
        <v>0</v>
      </c>
    </row>
    <row r="546" spans="1:9">
      <c r="A546" t="s">
        <v>564</v>
      </c>
      <c r="B546" t="s">
        <v>8</v>
      </c>
      <c r="C546" t="str">
        <f t="shared" si="16"/>
        <v>A</v>
      </c>
      <c r="D546" t="s">
        <v>18</v>
      </c>
      <c r="E546" t="s">
        <v>23</v>
      </c>
      <c r="F546" t="str">
        <f t="shared" si="17"/>
        <v>Desktop</v>
      </c>
      <c r="G546">
        <v>11</v>
      </c>
      <c r="H546">
        <v>0</v>
      </c>
      <c r="I546">
        <v>0</v>
      </c>
    </row>
    <row r="547" spans="1:9">
      <c r="A547" t="s">
        <v>565</v>
      </c>
      <c r="B547" t="s">
        <v>8</v>
      </c>
      <c r="C547" t="str">
        <f t="shared" si="16"/>
        <v>A</v>
      </c>
      <c r="D547" t="s">
        <v>13</v>
      </c>
      <c r="E547" t="s">
        <v>10</v>
      </c>
      <c r="F547" t="str">
        <f t="shared" si="17"/>
        <v>Mobile</v>
      </c>
      <c r="G547">
        <v>9</v>
      </c>
      <c r="H547">
        <v>0</v>
      </c>
      <c r="I547">
        <v>0</v>
      </c>
    </row>
    <row r="548" spans="1:9">
      <c r="A548" t="s">
        <v>566</v>
      </c>
      <c r="B548" t="s">
        <v>8</v>
      </c>
      <c r="C548" t="str">
        <f t="shared" si="16"/>
        <v>A</v>
      </c>
      <c r="D548" t="s">
        <v>20</v>
      </c>
      <c r="E548" t="s">
        <v>23</v>
      </c>
      <c r="F548" t="str">
        <f t="shared" si="17"/>
        <v>Desktop</v>
      </c>
      <c r="G548">
        <v>7</v>
      </c>
      <c r="H548">
        <v>0</v>
      </c>
      <c r="I548">
        <v>0</v>
      </c>
    </row>
    <row r="549" spans="1:9">
      <c r="A549" t="s">
        <v>567</v>
      </c>
      <c r="B549" t="s">
        <v>15</v>
      </c>
      <c r="C549" t="str">
        <f t="shared" si="16"/>
        <v>B</v>
      </c>
      <c r="D549" t="s">
        <v>20</v>
      </c>
      <c r="E549" t="s">
        <v>10</v>
      </c>
      <c r="F549" t="str">
        <f t="shared" si="17"/>
        <v>Mobile</v>
      </c>
      <c r="G549">
        <v>4</v>
      </c>
      <c r="H549">
        <v>0</v>
      </c>
      <c r="I549">
        <v>0</v>
      </c>
    </row>
    <row r="550" spans="1:9">
      <c r="A550" t="s">
        <v>568</v>
      </c>
      <c r="B550" t="s">
        <v>15</v>
      </c>
      <c r="C550" t="str">
        <f t="shared" si="16"/>
        <v>B</v>
      </c>
      <c r="D550" t="s">
        <v>18</v>
      </c>
      <c r="E550" t="s">
        <v>23</v>
      </c>
      <c r="F550" t="str">
        <f t="shared" si="17"/>
        <v>Desktop</v>
      </c>
      <c r="G550">
        <v>8</v>
      </c>
      <c r="H550">
        <v>0</v>
      </c>
      <c r="I550">
        <v>0</v>
      </c>
    </row>
    <row r="551" spans="1:9">
      <c r="A551" t="s">
        <v>569</v>
      </c>
      <c r="B551" t="s">
        <v>15</v>
      </c>
      <c r="C551" t="str">
        <f t="shared" si="16"/>
        <v>B</v>
      </c>
      <c r="D551" t="s">
        <v>20</v>
      </c>
      <c r="E551" t="s">
        <v>10</v>
      </c>
      <c r="F551" t="str">
        <f t="shared" si="17"/>
        <v>Mobile</v>
      </c>
      <c r="G551">
        <v>8</v>
      </c>
      <c r="H551">
        <v>1</v>
      </c>
      <c r="I551">
        <v>1507.12</v>
      </c>
    </row>
    <row r="552" spans="1:9">
      <c r="A552" t="s">
        <v>570</v>
      </c>
      <c r="B552" t="s">
        <v>8</v>
      </c>
      <c r="C552" t="str">
        <f t="shared" si="16"/>
        <v>A</v>
      </c>
      <c r="D552" t="s">
        <v>20</v>
      </c>
      <c r="E552" t="s">
        <v>83</v>
      </c>
      <c r="F552" t="str">
        <f t="shared" si="17"/>
        <v>Tablet</v>
      </c>
      <c r="G552">
        <v>3</v>
      </c>
      <c r="H552">
        <v>0</v>
      </c>
      <c r="I552">
        <v>0</v>
      </c>
    </row>
    <row r="553" spans="1:9">
      <c r="A553" t="s">
        <v>571</v>
      </c>
      <c r="B553" t="s">
        <v>8</v>
      </c>
      <c r="C553" t="str">
        <f t="shared" si="16"/>
        <v>A</v>
      </c>
      <c r="D553" t="s">
        <v>13</v>
      </c>
      <c r="E553" t="s">
        <v>10</v>
      </c>
      <c r="F553" t="str">
        <f t="shared" si="17"/>
        <v>Mobile</v>
      </c>
      <c r="G553">
        <v>9</v>
      </c>
      <c r="H553">
        <v>0</v>
      </c>
      <c r="I553">
        <v>0</v>
      </c>
    </row>
    <row r="554" spans="1:9">
      <c r="A554" t="s">
        <v>572</v>
      </c>
      <c r="B554" t="s">
        <v>8</v>
      </c>
      <c r="C554" t="str">
        <f t="shared" si="16"/>
        <v>A</v>
      </c>
      <c r="D554" t="s">
        <v>13</v>
      </c>
      <c r="E554" t="s">
        <v>10</v>
      </c>
      <c r="F554" t="str">
        <f t="shared" si="17"/>
        <v>Mobile</v>
      </c>
      <c r="G554">
        <v>4</v>
      </c>
      <c r="H554">
        <v>0</v>
      </c>
      <c r="I554">
        <v>0</v>
      </c>
    </row>
    <row r="555" spans="1:9">
      <c r="A555" t="s">
        <v>573</v>
      </c>
      <c r="B555" t="s">
        <v>8</v>
      </c>
      <c r="C555" t="str">
        <f t="shared" si="16"/>
        <v>A</v>
      </c>
      <c r="D555" t="s">
        <v>13</v>
      </c>
      <c r="E555" t="s">
        <v>33</v>
      </c>
      <c r="F555" t="str">
        <f t="shared" si="17"/>
        <v>Desktop</v>
      </c>
      <c r="G555">
        <v>11</v>
      </c>
      <c r="H555">
        <v>0</v>
      </c>
      <c r="I555">
        <v>0</v>
      </c>
    </row>
    <row r="556" spans="1:9">
      <c r="A556" t="s">
        <v>574</v>
      </c>
      <c r="B556" t="s">
        <v>15</v>
      </c>
      <c r="C556" t="str">
        <f t="shared" si="16"/>
        <v>B</v>
      </c>
      <c r="D556" t="s">
        <v>20</v>
      </c>
      <c r="E556" t="s">
        <v>10</v>
      </c>
      <c r="F556" t="str">
        <f t="shared" si="17"/>
        <v>Mobile</v>
      </c>
      <c r="G556">
        <v>7</v>
      </c>
      <c r="H556">
        <v>0</v>
      </c>
      <c r="I556">
        <v>0</v>
      </c>
    </row>
    <row r="557" spans="1:9">
      <c r="A557" t="s">
        <v>575</v>
      </c>
      <c r="B557" t="s">
        <v>8</v>
      </c>
      <c r="C557" t="str">
        <f t="shared" si="16"/>
        <v>A</v>
      </c>
      <c r="D557" t="s">
        <v>20</v>
      </c>
      <c r="E557" t="s">
        <v>23</v>
      </c>
      <c r="F557" t="str">
        <f t="shared" si="17"/>
        <v>Desktop</v>
      </c>
      <c r="G557">
        <v>3</v>
      </c>
      <c r="H557">
        <v>0</v>
      </c>
      <c r="I557">
        <v>0</v>
      </c>
    </row>
    <row r="558" spans="1:9">
      <c r="A558" t="s">
        <v>576</v>
      </c>
      <c r="B558" t="s">
        <v>8</v>
      </c>
      <c r="C558" t="str">
        <f t="shared" si="16"/>
        <v>A</v>
      </c>
      <c r="D558" t="s">
        <v>18</v>
      </c>
      <c r="E558" t="s">
        <v>23</v>
      </c>
      <c r="F558" t="str">
        <f t="shared" si="17"/>
        <v>Desktop</v>
      </c>
      <c r="G558">
        <v>7</v>
      </c>
      <c r="H558">
        <v>0</v>
      </c>
      <c r="I558">
        <v>0</v>
      </c>
    </row>
    <row r="559" spans="1:9">
      <c r="A559" t="s">
        <v>577</v>
      </c>
      <c r="B559" t="s">
        <v>15</v>
      </c>
      <c r="C559" t="str">
        <f t="shared" si="16"/>
        <v>B</v>
      </c>
      <c r="D559" t="s">
        <v>20</v>
      </c>
      <c r="E559" t="s">
        <v>16</v>
      </c>
      <c r="F559" t="str">
        <f t="shared" si="17"/>
        <v>Mobile</v>
      </c>
      <c r="G559">
        <v>4</v>
      </c>
      <c r="H559">
        <v>0</v>
      </c>
      <c r="I559">
        <v>0</v>
      </c>
    </row>
    <row r="560" spans="1:9">
      <c r="A560" t="s">
        <v>578</v>
      </c>
      <c r="B560" t="s">
        <v>8</v>
      </c>
      <c r="C560" t="str">
        <f t="shared" si="16"/>
        <v>A</v>
      </c>
      <c r="D560" t="s">
        <v>13</v>
      </c>
      <c r="E560" t="s">
        <v>83</v>
      </c>
      <c r="F560" t="str">
        <f t="shared" si="17"/>
        <v>Tablet</v>
      </c>
      <c r="G560">
        <v>4</v>
      </c>
      <c r="H560">
        <v>0</v>
      </c>
      <c r="I560">
        <v>0</v>
      </c>
    </row>
    <row r="561" spans="1:9">
      <c r="A561" t="s">
        <v>579</v>
      </c>
      <c r="B561" t="s">
        <v>15</v>
      </c>
      <c r="C561" t="str">
        <f t="shared" si="16"/>
        <v>B</v>
      </c>
      <c r="D561" t="s">
        <v>13</v>
      </c>
      <c r="E561" t="s">
        <v>83</v>
      </c>
      <c r="F561" t="str">
        <f t="shared" si="17"/>
        <v>Tablet</v>
      </c>
      <c r="G561">
        <v>7</v>
      </c>
      <c r="H561">
        <v>1</v>
      </c>
      <c r="I561">
        <v>2412.61</v>
      </c>
    </row>
    <row r="562" spans="1:9">
      <c r="A562" t="s">
        <v>580</v>
      </c>
      <c r="B562" t="s">
        <v>15</v>
      </c>
      <c r="C562" t="str">
        <f t="shared" si="16"/>
        <v>B</v>
      </c>
      <c r="D562" t="s">
        <v>13</v>
      </c>
      <c r="E562" t="s">
        <v>10</v>
      </c>
      <c r="F562" t="str">
        <f t="shared" si="17"/>
        <v>Mobile</v>
      </c>
      <c r="G562">
        <v>7</v>
      </c>
      <c r="H562">
        <v>0</v>
      </c>
      <c r="I562">
        <v>0</v>
      </c>
    </row>
    <row r="563" spans="1:9">
      <c r="A563" t="s">
        <v>581</v>
      </c>
      <c r="B563" t="s">
        <v>8</v>
      </c>
      <c r="C563" t="str">
        <f t="shared" si="16"/>
        <v>A</v>
      </c>
      <c r="D563" t="s">
        <v>20</v>
      </c>
      <c r="E563" t="s">
        <v>16</v>
      </c>
      <c r="F563" t="str">
        <f t="shared" si="17"/>
        <v>Mobile</v>
      </c>
      <c r="G563">
        <v>9</v>
      </c>
      <c r="H563">
        <v>0</v>
      </c>
      <c r="I563">
        <v>0</v>
      </c>
    </row>
    <row r="564" spans="1:9">
      <c r="A564" t="s">
        <v>582</v>
      </c>
      <c r="B564" t="s">
        <v>15</v>
      </c>
      <c r="C564" t="str">
        <f t="shared" si="16"/>
        <v>B</v>
      </c>
      <c r="D564" t="s">
        <v>20</v>
      </c>
      <c r="E564" t="s">
        <v>23</v>
      </c>
      <c r="F564" t="str">
        <f t="shared" si="17"/>
        <v>Desktop</v>
      </c>
      <c r="G564">
        <v>10</v>
      </c>
      <c r="H564">
        <v>0</v>
      </c>
      <c r="I564">
        <v>0</v>
      </c>
    </row>
    <row r="565" spans="1:9">
      <c r="A565" t="s">
        <v>583</v>
      </c>
      <c r="B565" t="s">
        <v>15</v>
      </c>
      <c r="C565" t="str">
        <f t="shared" si="16"/>
        <v>B</v>
      </c>
      <c r="D565" t="s">
        <v>13</v>
      </c>
      <c r="E565" t="s">
        <v>23</v>
      </c>
      <c r="F565" t="str">
        <f t="shared" si="17"/>
        <v>Desktop</v>
      </c>
      <c r="G565">
        <v>4</v>
      </c>
      <c r="H565">
        <v>1</v>
      </c>
      <c r="I565">
        <v>2028.09</v>
      </c>
    </row>
    <row r="566" spans="1:9">
      <c r="A566" t="s">
        <v>584</v>
      </c>
      <c r="B566" t="s">
        <v>12</v>
      </c>
      <c r="C566" t="str">
        <f t="shared" si="16"/>
        <v>A</v>
      </c>
      <c r="D566" t="s">
        <v>9</v>
      </c>
      <c r="E566" t="s">
        <v>10</v>
      </c>
      <c r="F566" t="str">
        <f t="shared" si="17"/>
        <v>Mobile</v>
      </c>
      <c r="G566">
        <v>8</v>
      </c>
      <c r="H566">
        <v>0</v>
      </c>
      <c r="I566">
        <v>0</v>
      </c>
    </row>
    <row r="567" spans="1:9">
      <c r="A567" t="s">
        <v>585</v>
      </c>
      <c r="B567" t="s">
        <v>8</v>
      </c>
      <c r="C567" t="str">
        <f t="shared" si="16"/>
        <v>A</v>
      </c>
      <c r="D567" t="s">
        <v>18</v>
      </c>
      <c r="E567" t="s">
        <v>23</v>
      </c>
      <c r="F567" t="str">
        <f t="shared" si="17"/>
        <v>Desktop</v>
      </c>
      <c r="G567">
        <v>4</v>
      </c>
      <c r="H567">
        <v>0</v>
      </c>
      <c r="I567">
        <v>0</v>
      </c>
    </row>
    <row r="568" spans="1:9">
      <c r="A568" t="s">
        <v>586</v>
      </c>
      <c r="B568" t="s">
        <v>12</v>
      </c>
      <c r="C568" t="str">
        <f t="shared" si="16"/>
        <v>A</v>
      </c>
      <c r="D568" t="s">
        <v>20</v>
      </c>
      <c r="E568" t="s">
        <v>83</v>
      </c>
      <c r="F568" t="str">
        <f t="shared" si="17"/>
        <v>Tablet</v>
      </c>
      <c r="G568">
        <v>7</v>
      </c>
      <c r="H568">
        <v>0</v>
      </c>
      <c r="I568">
        <v>0</v>
      </c>
    </row>
    <row r="569" spans="1:9">
      <c r="A569" t="s">
        <v>587</v>
      </c>
      <c r="B569" t="s">
        <v>15</v>
      </c>
      <c r="C569" t="str">
        <f t="shared" si="16"/>
        <v>B</v>
      </c>
      <c r="D569" t="s">
        <v>20</v>
      </c>
      <c r="E569" t="s">
        <v>33</v>
      </c>
      <c r="F569" t="str">
        <f t="shared" si="17"/>
        <v>Desktop</v>
      </c>
      <c r="G569">
        <v>10</v>
      </c>
      <c r="H569">
        <v>0</v>
      </c>
      <c r="I569">
        <v>0</v>
      </c>
    </row>
    <row r="570" spans="1:9">
      <c r="A570" t="s">
        <v>588</v>
      </c>
      <c r="B570" t="s">
        <v>8</v>
      </c>
      <c r="C570" t="str">
        <f t="shared" si="16"/>
        <v>A</v>
      </c>
      <c r="D570" t="s">
        <v>18</v>
      </c>
      <c r="E570" t="s">
        <v>10</v>
      </c>
      <c r="F570" t="str">
        <f t="shared" si="17"/>
        <v>Mobile</v>
      </c>
      <c r="G570">
        <v>12</v>
      </c>
      <c r="H570">
        <v>0</v>
      </c>
      <c r="I570">
        <v>0</v>
      </c>
    </row>
    <row r="571" spans="1:9">
      <c r="A571" t="s">
        <v>589</v>
      </c>
      <c r="B571" t="s">
        <v>8</v>
      </c>
      <c r="C571" t="str">
        <f t="shared" si="16"/>
        <v>A</v>
      </c>
      <c r="D571" t="s">
        <v>13</v>
      </c>
      <c r="E571" t="s">
        <v>10</v>
      </c>
      <c r="F571" t="str">
        <f t="shared" si="17"/>
        <v>Mobile</v>
      </c>
      <c r="G571">
        <v>7</v>
      </c>
      <c r="H571">
        <v>0</v>
      </c>
      <c r="I571">
        <v>0</v>
      </c>
    </row>
    <row r="572" spans="1:9">
      <c r="A572" t="s">
        <v>590</v>
      </c>
      <c r="B572" t="s">
        <v>29</v>
      </c>
      <c r="C572" t="str">
        <f t="shared" si="16"/>
        <v>B</v>
      </c>
      <c r="D572" t="s">
        <v>9</v>
      </c>
      <c r="E572" t="s">
        <v>10</v>
      </c>
      <c r="F572" t="str">
        <f t="shared" si="17"/>
        <v>Mobile</v>
      </c>
      <c r="G572">
        <v>5</v>
      </c>
      <c r="H572">
        <v>0</v>
      </c>
      <c r="I572">
        <v>0</v>
      </c>
    </row>
    <row r="573" spans="1:9">
      <c r="A573" t="s">
        <v>591</v>
      </c>
      <c r="B573" t="s">
        <v>15</v>
      </c>
      <c r="C573" t="str">
        <f t="shared" si="16"/>
        <v>B</v>
      </c>
      <c r="D573" t="s">
        <v>20</v>
      </c>
      <c r="E573" t="s">
        <v>16</v>
      </c>
      <c r="F573" t="str">
        <f t="shared" si="17"/>
        <v>Mobile</v>
      </c>
      <c r="G573">
        <v>7</v>
      </c>
      <c r="H573">
        <v>0</v>
      </c>
      <c r="I573">
        <v>0</v>
      </c>
    </row>
    <row r="574" spans="1:9">
      <c r="A574" t="s">
        <v>592</v>
      </c>
      <c r="B574" t="s">
        <v>8</v>
      </c>
      <c r="C574" t="str">
        <f t="shared" si="16"/>
        <v>A</v>
      </c>
      <c r="D574" t="s">
        <v>13</v>
      </c>
      <c r="E574" t="s">
        <v>23</v>
      </c>
      <c r="F574" t="str">
        <f t="shared" si="17"/>
        <v>Desktop</v>
      </c>
      <c r="G574">
        <v>6</v>
      </c>
      <c r="H574">
        <v>0</v>
      </c>
      <c r="I574">
        <v>0</v>
      </c>
    </row>
    <row r="575" spans="1:9">
      <c r="A575" t="s">
        <v>593</v>
      </c>
      <c r="B575" t="s">
        <v>15</v>
      </c>
      <c r="C575" t="str">
        <f t="shared" si="16"/>
        <v>B</v>
      </c>
      <c r="D575" t="s">
        <v>13</v>
      </c>
      <c r="E575" t="s">
        <v>10</v>
      </c>
      <c r="F575" t="str">
        <f t="shared" si="17"/>
        <v>Mobile</v>
      </c>
      <c r="G575">
        <v>9</v>
      </c>
      <c r="H575">
        <v>1</v>
      </c>
      <c r="I575">
        <v>2332.79</v>
      </c>
    </row>
    <row r="576" spans="1:9">
      <c r="A576" t="s">
        <v>594</v>
      </c>
      <c r="B576" t="s">
        <v>8</v>
      </c>
      <c r="C576" t="str">
        <f t="shared" si="16"/>
        <v>A</v>
      </c>
      <c r="D576" t="s">
        <v>13</v>
      </c>
      <c r="E576" t="s">
        <v>10</v>
      </c>
      <c r="F576" t="str">
        <f t="shared" si="17"/>
        <v>Mobile</v>
      </c>
      <c r="G576">
        <v>9</v>
      </c>
      <c r="H576">
        <v>0</v>
      </c>
      <c r="I576">
        <v>0</v>
      </c>
    </row>
    <row r="577" spans="1:9">
      <c r="A577" t="s">
        <v>595</v>
      </c>
      <c r="B577" t="s">
        <v>8</v>
      </c>
      <c r="C577" t="str">
        <f t="shared" si="16"/>
        <v>A</v>
      </c>
      <c r="D577" t="s">
        <v>20</v>
      </c>
      <c r="E577" t="s">
        <v>10</v>
      </c>
      <c r="F577" t="str">
        <f t="shared" si="17"/>
        <v>Mobile</v>
      </c>
      <c r="G577">
        <v>4</v>
      </c>
      <c r="H577">
        <v>1</v>
      </c>
      <c r="I577">
        <v>1749.54</v>
      </c>
    </row>
    <row r="578" spans="1:9">
      <c r="A578" t="s">
        <v>596</v>
      </c>
      <c r="B578" t="s">
        <v>8</v>
      </c>
      <c r="C578" t="str">
        <f t="shared" ref="C578:C641" si="18">IF(OR(B578="control", B578="A"), "A", "B")</f>
        <v>A</v>
      </c>
      <c r="D578" t="s">
        <v>20</v>
      </c>
      <c r="E578" t="s">
        <v>10</v>
      </c>
      <c r="F578" t="str">
        <f t="shared" ref="F578:F641" si="19">PROPER(E578)</f>
        <v>Mobile</v>
      </c>
      <c r="G578">
        <v>4</v>
      </c>
      <c r="H578">
        <v>0</v>
      </c>
      <c r="I578">
        <v>0</v>
      </c>
    </row>
    <row r="579" spans="1:9">
      <c r="A579" t="s">
        <v>597</v>
      </c>
      <c r="B579" t="s">
        <v>8</v>
      </c>
      <c r="C579" t="str">
        <f t="shared" si="18"/>
        <v>A</v>
      </c>
      <c r="D579" t="s">
        <v>13</v>
      </c>
      <c r="E579" t="s">
        <v>33</v>
      </c>
      <c r="F579" t="str">
        <f t="shared" si="19"/>
        <v>Desktop</v>
      </c>
      <c r="G579">
        <v>4</v>
      </c>
      <c r="H579">
        <v>0</v>
      </c>
      <c r="I579">
        <v>0</v>
      </c>
    </row>
    <row r="580" spans="1:9">
      <c r="A580" t="s">
        <v>598</v>
      </c>
      <c r="B580" t="s">
        <v>8</v>
      </c>
      <c r="C580" t="str">
        <f t="shared" si="18"/>
        <v>A</v>
      </c>
      <c r="D580" t="s">
        <v>20</v>
      </c>
      <c r="E580" t="s">
        <v>23</v>
      </c>
      <c r="F580" t="str">
        <f t="shared" si="19"/>
        <v>Desktop</v>
      </c>
      <c r="G580">
        <v>2</v>
      </c>
      <c r="H580">
        <v>0</v>
      </c>
      <c r="I580">
        <v>0</v>
      </c>
    </row>
    <row r="581" spans="1:9">
      <c r="A581" t="s">
        <v>599</v>
      </c>
      <c r="B581" t="s">
        <v>8</v>
      </c>
      <c r="C581" t="str">
        <f t="shared" si="18"/>
        <v>A</v>
      </c>
      <c r="D581" t="s">
        <v>13</v>
      </c>
      <c r="E581" t="s">
        <v>10</v>
      </c>
      <c r="F581" t="str">
        <f t="shared" si="19"/>
        <v>Mobile</v>
      </c>
      <c r="G581">
        <v>10</v>
      </c>
      <c r="H581">
        <v>0</v>
      </c>
      <c r="I581">
        <v>0</v>
      </c>
    </row>
    <row r="582" spans="1:9">
      <c r="A582" t="s">
        <v>600</v>
      </c>
      <c r="B582" t="s">
        <v>15</v>
      </c>
      <c r="C582" t="str">
        <f t="shared" si="18"/>
        <v>B</v>
      </c>
      <c r="D582" t="s">
        <v>18</v>
      </c>
      <c r="E582" t="s">
        <v>23</v>
      </c>
      <c r="F582" t="str">
        <f t="shared" si="19"/>
        <v>Desktop</v>
      </c>
      <c r="G582">
        <v>8</v>
      </c>
      <c r="H582">
        <v>0</v>
      </c>
      <c r="I582">
        <v>0</v>
      </c>
    </row>
    <row r="583" spans="1:9">
      <c r="A583" t="s">
        <v>601</v>
      </c>
      <c r="B583" t="s">
        <v>8</v>
      </c>
      <c r="C583" t="str">
        <f t="shared" si="18"/>
        <v>A</v>
      </c>
      <c r="D583" t="s">
        <v>20</v>
      </c>
      <c r="E583" t="s">
        <v>10</v>
      </c>
      <c r="F583" t="str">
        <f t="shared" si="19"/>
        <v>Mobile</v>
      </c>
      <c r="G583">
        <v>2</v>
      </c>
      <c r="H583">
        <v>0</v>
      </c>
      <c r="I583">
        <v>0</v>
      </c>
    </row>
    <row r="584" spans="1:9">
      <c r="A584" t="s">
        <v>602</v>
      </c>
      <c r="B584" t="s">
        <v>8</v>
      </c>
      <c r="C584" t="str">
        <f t="shared" si="18"/>
        <v>A</v>
      </c>
      <c r="D584" t="s">
        <v>9</v>
      </c>
      <c r="E584" t="s">
        <v>83</v>
      </c>
      <c r="F584" t="str">
        <f t="shared" si="19"/>
        <v>Tablet</v>
      </c>
      <c r="G584">
        <v>4</v>
      </c>
      <c r="H584">
        <v>1</v>
      </c>
      <c r="I584">
        <v>5124.28</v>
      </c>
    </row>
    <row r="585" spans="1:9">
      <c r="A585" t="s">
        <v>603</v>
      </c>
      <c r="B585" t="s">
        <v>15</v>
      </c>
      <c r="C585" t="str">
        <f t="shared" si="18"/>
        <v>B</v>
      </c>
      <c r="D585" t="s">
        <v>20</v>
      </c>
      <c r="E585" t="s">
        <v>10</v>
      </c>
      <c r="F585" t="str">
        <f t="shared" si="19"/>
        <v>Mobile</v>
      </c>
      <c r="G585">
        <v>14</v>
      </c>
      <c r="H585">
        <v>1</v>
      </c>
      <c r="I585">
        <v>928.17</v>
      </c>
    </row>
    <row r="586" spans="1:9">
      <c r="A586" t="s">
        <v>604</v>
      </c>
      <c r="B586" t="s">
        <v>15</v>
      </c>
      <c r="C586" t="str">
        <f t="shared" si="18"/>
        <v>B</v>
      </c>
      <c r="D586" t="s">
        <v>13</v>
      </c>
      <c r="E586" t="s">
        <v>10</v>
      </c>
      <c r="F586" t="str">
        <f t="shared" si="19"/>
        <v>Mobile</v>
      </c>
      <c r="G586">
        <v>2</v>
      </c>
      <c r="H586">
        <v>1</v>
      </c>
      <c r="I586">
        <v>2031.12</v>
      </c>
    </row>
    <row r="587" spans="1:9">
      <c r="A587" t="s">
        <v>605</v>
      </c>
      <c r="B587" t="s">
        <v>15</v>
      </c>
      <c r="C587" t="str">
        <f t="shared" si="18"/>
        <v>B</v>
      </c>
      <c r="D587" t="s">
        <v>18</v>
      </c>
      <c r="E587" t="s">
        <v>10</v>
      </c>
      <c r="F587" t="str">
        <f t="shared" si="19"/>
        <v>Mobile</v>
      </c>
      <c r="G587">
        <v>3</v>
      </c>
      <c r="H587">
        <v>0</v>
      </c>
      <c r="I587">
        <v>0</v>
      </c>
    </row>
    <row r="588" spans="1:9">
      <c r="A588" t="s">
        <v>606</v>
      </c>
      <c r="B588" t="s">
        <v>8</v>
      </c>
      <c r="C588" t="str">
        <f t="shared" si="18"/>
        <v>A</v>
      </c>
      <c r="D588" t="s">
        <v>20</v>
      </c>
      <c r="E588" t="s">
        <v>23</v>
      </c>
      <c r="F588" t="str">
        <f t="shared" si="19"/>
        <v>Desktop</v>
      </c>
      <c r="G588">
        <v>5</v>
      </c>
      <c r="H588">
        <v>0</v>
      </c>
      <c r="I588">
        <v>0</v>
      </c>
    </row>
    <row r="589" spans="1:9">
      <c r="A589" t="s">
        <v>607</v>
      </c>
      <c r="B589" t="s">
        <v>8</v>
      </c>
      <c r="C589" t="str">
        <f t="shared" si="18"/>
        <v>A</v>
      </c>
      <c r="D589" t="s">
        <v>20</v>
      </c>
      <c r="E589" t="s">
        <v>23</v>
      </c>
      <c r="F589" t="str">
        <f t="shared" si="19"/>
        <v>Desktop</v>
      </c>
      <c r="G589">
        <v>6</v>
      </c>
      <c r="H589">
        <v>0</v>
      </c>
      <c r="I589">
        <v>0</v>
      </c>
    </row>
    <row r="590" spans="1:9">
      <c r="A590" t="s">
        <v>608</v>
      </c>
      <c r="B590" t="s">
        <v>8</v>
      </c>
      <c r="C590" t="str">
        <f t="shared" si="18"/>
        <v>A</v>
      </c>
      <c r="D590" t="s">
        <v>13</v>
      </c>
      <c r="E590" t="s">
        <v>23</v>
      </c>
      <c r="F590" t="str">
        <f t="shared" si="19"/>
        <v>Desktop</v>
      </c>
      <c r="G590">
        <v>10</v>
      </c>
      <c r="H590">
        <v>0</v>
      </c>
      <c r="I590">
        <v>0</v>
      </c>
    </row>
    <row r="591" spans="1:9">
      <c r="A591" t="s">
        <v>609</v>
      </c>
      <c r="B591" t="s">
        <v>8</v>
      </c>
      <c r="C591" t="str">
        <f t="shared" si="18"/>
        <v>A</v>
      </c>
      <c r="D591" t="s">
        <v>20</v>
      </c>
      <c r="E591" t="s">
        <v>10</v>
      </c>
      <c r="F591" t="str">
        <f t="shared" si="19"/>
        <v>Mobile</v>
      </c>
      <c r="G591">
        <v>3</v>
      </c>
      <c r="H591">
        <v>0</v>
      </c>
      <c r="I591">
        <v>0</v>
      </c>
    </row>
    <row r="592" spans="1:9">
      <c r="A592" t="s">
        <v>610</v>
      </c>
      <c r="B592" t="s">
        <v>8</v>
      </c>
      <c r="C592" t="str">
        <f t="shared" si="18"/>
        <v>A</v>
      </c>
      <c r="D592" t="s">
        <v>13</v>
      </c>
      <c r="E592" t="s">
        <v>10</v>
      </c>
      <c r="F592" t="str">
        <f t="shared" si="19"/>
        <v>Mobile</v>
      </c>
      <c r="G592">
        <v>7</v>
      </c>
      <c r="H592">
        <v>0</v>
      </c>
      <c r="I592">
        <v>0</v>
      </c>
    </row>
    <row r="593" spans="1:9">
      <c r="A593" t="s">
        <v>611</v>
      </c>
      <c r="B593" t="s">
        <v>8</v>
      </c>
      <c r="C593" t="str">
        <f t="shared" si="18"/>
        <v>A</v>
      </c>
      <c r="D593" t="s">
        <v>9</v>
      </c>
      <c r="E593" t="s">
        <v>10</v>
      </c>
      <c r="F593" t="str">
        <f t="shared" si="19"/>
        <v>Mobile</v>
      </c>
      <c r="G593">
        <v>4</v>
      </c>
      <c r="H593">
        <v>0</v>
      </c>
      <c r="I593">
        <v>0</v>
      </c>
    </row>
    <row r="594" spans="1:9">
      <c r="A594" t="s">
        <v>612</v>
      </c>
      <c r="B594" t="s">
        <v>8</v>
      </c>
      <c r="C594" t="str">
        <f t="shared" si="18"/>
        <v>A</v>
      </c>
      <c r="D594" t="s">
        <v>13</v>
      </c>
      <c r="E594" t="s">
        <v>23</v>
      </c>
      <c r="F594" t="str">
        <f t="shared" si="19"/>
        <v>Desktop</v>
      </c>
      <c r="G594">
        <v>6</v>
      </c>
      <c r="H594">
        <v>0</v>
      </c>
      <c r="I594">
        <v>0</v>
      </c>
    </row>
    <row r="595" spans="1:9">
      <c r="A595" t="s">
        <v>613</v>
      </c>
      <c r="B595" t="s">
        <v>8</v>
      </c>
      <c r="C595" t="str">
        <f t="shared" si="18"/>
        <v>A</v>
      </c>
      <c r="D595" t="s">
        <v>20</v>
      </c>
      <c r="E595" t="s">
        <v>10</v>
      </c>
      <c r="F595" t="str">
        <f t="shared" si="19"/>
        <v>Mobile</v>
      </c>
      <c r="G595">
        <v>5</v>
      </c>
      <c r="H595">
        <v>0</v>
      </c>
      <c r="I595">
        <v>0</v>
      </c>
    </row>
    <row r="596" spans="1:9">
      <c r="A596" t="s">
        <v>614</v>
      </c>
      <c r="B596" t="s">
        <v>15</v>
      </c>
      <c r="C596" t="str">
        <f t="shared" si="18"/>
        <v>B</v>
      </c>
      <c r="D596" t="s">
        <v>13</v>
      </c>
      <c r="E596" t="s">
        <v>23</v>
      </c>
      <c r="F596" t="str">
        <f t="shared" si="19"/>
        <v>Desktop</v>
      </c>
      <c r="G596">
        <v>8</v>
      </c>
      <c r="H596">
        <v>0</v>
      </c>
      <c r="I596">
        <v>0</v>
      </c>
    </row>
    <row r="597" spans="1:9">
      <c r="A597" t="s">
        <v>615</v>
      </c>
      <c r="B597" t="s">
        <v>8</v>
      </c>
      <c r="C597" t="str">
        <f t="shared" si="18"/>
        <v>A</v>
      </c>
      <c r="D597" t="s">
        <v>13</v>
      </c>
      <c r="E597" t="s">
        <v>16</v>
      </c>
      <c r="F597" t="str">
        <f t="shared" si="19"/>
        <v>Mobile</v>
      </c>
      <c r="G597">
        <v>6</v>
      </c>
      <c r="H597">
        <v>0</v>
      </c>
      <c r="I597">
        <v>0</v>
      </c>
    </row>
    <row r="598" spans="1:9">
      <c r="A598" t="s">
        <v>616</v>
      </c>
      <c r="B598" t="s">
        <v>8</v>
      </c>
      <c r="C598" t="str">
        <f t="shared" si="18"/>
        <v>A</v>
      </c>
      <c r="D598" t="s">
        <v>20</v>
      </c>
      <c r="E598" t="s">
        <v>16</v>
      </c>
      <c r="F598" t="str">
        <f t="shared" si="19"/>
        <v>Mobile</v>
      </c>
      <c r="G598">
        <v>1</v>
      </c>
      <c r="H598">
        <v>0</v>
      </c>
      <c r="I598">
        <v>0</v>
      </c>
    </row>
    <row r="599" spans="1:9">
      <c r="A599" t="s">
        <v>617</v>
      </c>
      <c r="B599" t="s">
        <v>15</v>
      </c>
      <c r="C599" t="str">
        <f t="shared" si="18"/>
        <v>B</v>
      </c>
      <c r="D599" t="s">
        <v>13</v>
      </c>
      <c r="E599" t="s">
        <v>10</v>
      </c>
      <c r="F599" t="str">
        <f t="shared" si="19"/>
        <v>Mobile</v>
      </c>
      <c r="G599">
        <v>5</v>
      </c>
      <c r="H599">
        <v>0</v>
      </c>
      <c r="I599">
        <v>0</v>
      </c>
    </row>
    <row r="600" spans="1:9">
      <c r="A600" t="s">
        <v>618</v>
      </c>
      <c r="B600" t="s">
        <v>15</v>
      </c>
      <c r="C600" t="str">
        <f t="shared" si="18"/>
        <v>B</v>
      </c>
      <c r="D600" t="s">
        <v>13</v>
      </c>
      <c r="E600" t="s">
        <v>10</v>
      </c>
      <c r="F600" t="str">
        <f t="shared" si="19"/>
        <v>Mobile</v>
      </c>
      <c r="G600">
        <v>9</v>
      </c>
      <c r="H600">
        <v>0</v>
      </c>
      <c r="I600">
        <v>0</v>
      </c>
    </row>
    <row r="601" spans="1:9">
      <c r="A601" t="s">
        <v>619</v>
      </c>
      <c r="B601" t="s">
        <v>8</v>
      </c>
      <c r="C601" t="str">
        <f t="shared" si="18"/>
        <v>A</v>
      </c>
      <c r="D601" t="s">
        <v>13</v>
      </c>
      <c r="E601" t="s">
        <v>10</v>
      </c>
      <c r="F601" t="str">
        <f t="shared" si="19"/>
        <v>Mobile</v>
      </c>
      <c r="G601">
        <v>4</v>
      </c>
      <c r="H601">
        <v>1</v>
      </c>
      <c r="I601">
        <v>2671.14</v>
      </c>
    </row>
    <row r="602" spans="1:9">
      <c r="A602" t="s">
        <v>620</v>
      </c>
      <c r="B602" t="s">
        <v>15</v>
      </c>
      <c r="C602" t="str">
        <f t="shared" si="18"/>
        <v>B</v>
      </c>
      <c r="D602" t="s">
        <v>20</v>
      </c>
      <c r="E602" t="s">
        <v>23</v>
      </c>
      <c r="F602" t="str">
        <f t="shared" si="19"/>
        <v>Desktop</v>
      </c>
      <c r="G602">
        <v>1</v>
      </c>
      <c r="H602">
        <v>0</v>
      </c>
      <c r="I602">
        <v>0</v>
      </c>
    </row>
    <row r="603" spans="1:9">
      <c r="A603" t="s">
        <v>621</v>
      </c>
      <c r="B603" t="s">
        <v>15</v>
      </c>
      <c r="C603" t="str">
        <f t="shared" si="18"/>
        <v>B</v>
      </c>
      <c r="D603" t="s">
        <v>13</v>
      </c>
      <c r="E603" t="s">
        <v>16</v>
      </c>
      <c r="F603" t="str">
        <f t="shared" si="19"/>
        <v>Mobile</v>
      </c>
      <c r="G603">
        <v>4</v>
      </c>
      <c r="H603">
        <v>0</v>
      </c>
      <c r="I603">
        <v>0</v>
      </c>
    </row>
    <row r="604" spans="1:9">
      <c r="A604" t="s">
        <v>622</v>
      </c>
      <c r="B604" t="s">
        <v>8</v>
      </c>
      <c r="C604" t="str">
        <f t="shared" si="18"/>
        <v>A</v>
      </c>
      <c r="D604" t="s">
        <v>20</v>
      </c>
      <c r="E604" t="s">
        <v>10</v>
      </c>
      <c r="F604" t="str">
        <f t="shared" si="19"/>
        <v>Mobile</v>
      </c>
      <c r="G604">
        <v>8</v>
      </c>
      <c r="H604">
        <v>0</v>
      </c>
      <c r="I604">
        <v>0</v>
      </c>
    </row>
    <row r="605" spans="1:9">
      <c r="A605" t="s">
        <v>623</v>
      </c>
      <c r="B605" t="s">
        <v>15</v>
      </c>
      <c r="C605" t="str">
        <f t="shared" si="18"/>
        <v>B</v>
      </c>
      <c r="D605" t="s">
        <v>20</v>
      </c>
      <c r="E605" t="s">
        <v>10</v>
      </c>
      <c r="F605" t="str">
        <f t="shared" si="19"/>
        <v>Mobile</v>
      </c>
      <c r="G605">
        <v>6</v>
      </c>
      <c r="H605">
        <v>0</v>
      </c>
      <c r="I605">
        <v>0</v>
      </c>
    </row>
    <row r="606" spans="1:9">
      <c r="A606" t="s">
        <v>624</v>
      </c>
      <c r="B606" t="s">
        <v>12</v>
      </c>
      <c r="C606" t="str">
        <f t="shared" si="18"/>
        <v>A</v>
      </c>
      <c r="D606" t="s">
        <v>9</v>
      </c>
      <c r="E606" t="s">
        <v>16</v>
      </c>
      <c r="F606" t="str">
        <f t="shared" si="19"/>
        <v>Mobile</v>
      </c>
      <c r="G606">
        <v>6</v>
      </c>
      <c r="H606">
        <v>1</v>
      </c>
      <c r="I606">
        <v>6074.55</v>
      </c>
    </row>
    <row r="607" spans="1:9">
      <c r="A607" t="s">
        <v>625</v>
      </c>
      <c r="B607" t="s">
        <v>8</v>
      </c>
      <c r="C607" t="str">
        <f t="shared" si="18"/>
        <v>A</v>
      </c>
      <c r="D607" t="s">
        <v>13</v>
      </c>
      <c r="E607" t="s">
        <v>16</v>
      </c>
      <c r="F607" t="str">
        <f t="shared" si="19"/>
        <v>Mobile</v>
      </c>
      <c r="G607">
        <v>6</v>
      </c>
      <c r="H607">
        <v>0</v>
      </c>
      <c r="I607">
        <v>0</v>
      </c>
    </row>
    <row r="608" spans="1:9">
      <c r="A608" t="s">
        <v>626</v>
      </c>
      <c r="B608" t="s">
        <v>8</v>
      </c>
      <c r="C608" t="str">
        <f t="shared" si="18"/>
        <v>A</v>
      </c>
      <c r="D608" t="s">
        <v>20</v>
      </c>
      <c r="E608" t="s">
        <v>10</v>
      </c>
      <c r="F608" t="str">
        <f t="shared" si="19"/>
        <v>Mobile</v>
      </c>
      <c r="G608">
        <v>2</v>
      </c>
      <c r="H608">
        <v>0</v>
      </c>
      <c r="I608">
        <v>0</v>
      </c>
    </row>
    <row r="609" spans="1:9">
      <c r="A609" t="s">
        <v>627</v>
      </c>
      <c r="B609" t="s">
        <v>15</v>
      </c>
      <c r="C609" t="str">
        <f t="shared" si="18"/>
        <v>B</v>
      </c>
      <c r="D609" t="s">
        <v>20</v>
      </c>
      <c r="E609" t="s">
        <v>23</v>
      </c>
      <c r="F609" t="str">
        <f t="shared" si="19"/>
        <v>Desktop</v>
      </c>
      <c r="G609">
        <v>5</v>
      </c>
      <c r="H609">
        <v>0</v>
      </c>
      <c r="I609">
        <v>0</v>
      </c>
    </row>
    <row r="610" spans="1:9">
      <c r="A610" t="s">
        <v>628</v>
      </c>
      <c r="B610" t="s">
        <v>15</v>
      </c>
      <c r="C610" t="str">
        <f t="shared" si="18"/>
        <v>B</v>
      </c>
      <c r="D610" t="s">
        <v>20</v>
      </c>
      <c r="E610" t="s">
        <v>10</v>
      </c>
      <c r="F610" t="str">
        <f t="shared" si="19"/>
        <v>Mobile</v>
      </c>
      <c r="G610">
        <v>10</v>
      </c>
      <c r="H610">
        <v>0</v>
      </c>
      <c r="I610">
        <v>0</v>
      </c>
    </row>
    <row r="611" spans="1:9">
      <c r="A611" t="s">
        <v>629</v>
      </c>
      <c r="B611" t="s">
        <v>8</v>
      </c>
      <c r="C611" t="str">
        <f t="shared" si="18"/>
        <v>A</v>
      </c>
      <c r="D611" t="s">
        <v>20</v>
      </c>
      <c r="E611" t="s">
        <v>10</v>
      </c>
      <c r="F611" t="str">
        <f t="shared" si="19"/>
        <v>Mobile</v>
      </c>
      <c r="G611">
        <v>3</v>
      </c>
      <c r="H611">
        <v>0</v>
      </c>
      <c r="I611">
        <v>0</v>
      </c>
    </row>
    <row r="612" spans="1:9">
      <c r="A612" t="s">
        <v>630</v>
      </c>
      <c r="B612" t="s">
        <v>8</v>
      </c>
      <c r="C612" t="str">
        <f t="shared" si="18"/>
        <v>A</v>
      </c>
      <c r="D612" t="s">
        <v>20</v>
      </c>
      <c r="E612" t="s">
        <v>33</v>
      </c>
      <c r="F612" t="str">
        <f t="shared" si="19"/>
        <v>Desktop</v>
      </c>
      <c r="G612">
        <v>8</v>
      </c>
      <c r="H612">
        <v>0</v>
      </c>
      <c r="I612">
        <v>0</v>
      </c>
    </row>
    <row r="613" spans="1:9">
      <c r="A613" t="s">
        <v>631</v>
      </c>
      <c r="B613" t="s">
        <v>8</v>
      </c>
      <c r="C613" t="str">
        <f t="shared" si="18"/>
        <v>A</v>
      </c>
      <c r="D613" t="s">
        <v>20</v>
      </c>
      <c r="E613" t="s">
        <v>16</v>
      </c>
      <c r="F613" t="str">
        <f t="shared" si="19"/>
        <v>Mobile</v>
      </c>
      <c r="G613">
        <v>1</v>
      </c>
      <c r="H613">
        <v>0</v>
      </c>
      <c r="I613">
        <v>0</v>
      </c>
    </row>
    <row r="614" spans="1:9">
      <c r="A614" t="s">
        <v>632</v>
      </c>
      <c r="B614" t="s">
        <v>15</v>
      </c>
      <c r="C614" t="str">
        <f t="shared" si="18"/>
        <v>B</v>
      </c>
      <c r="D614" t="s">
        <v>13</v>
      </c>
      <c r="E614" t="s">
        <v>23</v>
      </c>
      <c r="F614" t="str">
        <f t="shared" si="19"/>
        <v>Desktop</v>
      </c>
      <c r="G614">
        <v>9</v>
      </c>
      <c r="H614">
        <v>0</v>
      </c>
      <c r="I614">
        <v>0</v>
      </c>
    </row>
    <row r="615" spans="1:9">
      <c r="A615" t="s">
        <v>633</v>
      </c>
      <c r="B615" t="s">
        <v>15</v>
      </c>
      <c r="C615" t="str">
        <f t="shared" si="18"/>
        <v>B</v>
      </c>
      <c r="D615" t="s">
        <v>13</v>
      </c>
      <c r="E615" t="s">
        <v>10</v>
      </c>
      <c r="F615" t="str">
        <f t="shared" si="19"/>
        <v>Mobile</v>
      </c>
      <c r="G615">
        <v>10</v>
      </c>
      <c r="H615">
        <v>1</v>
      </c>
      <c r="I615">
        <v>2265.6</v>
      </c>
    </row>
    <row r="616" spans="1:9">
      <c r="A616" t="s">
        <v>634</v>
      </c>
      <c r="B616" t="s">
        <v>8</v>
      </c>
      <c r="C616" t="str">
        <f t="shared" si="18"/>
        <v>A</v>
      </c>
      <c r="D616" t="s">
        <v>13</v>
      </c>
      <c r="E616" t="s">
        <v>16</v>
      </c>
      <c r="F616" t="str">
        <f t="shared" si="19"/>
        <v>Mobile</v>
      </c>
      <c r="G616">
        <v>5</v>
      </c>
      <c r="H616">
        <v>0</v>
      </c>
      <c r="I616">
        <v>0</v>
      </c>
    </row>
    <row r="617" spans="1:9">
      <c r="A617" t="s">
        <v>635</v>
      </c>
      <c r="B617" t="s">
        <v>15</v>
      </c>
      <c r="C617" t="str">
        <f t="shared" si="18"/>
        <v>B</v>
      </c>
      <c r="D617" t="s">
        <v>13</v>
      </c>
      <c r="E617" t="s">
        <v>10</v>
      </c>
      <c r="F617" t="str">
        <f t="shared" si="19"/>
        <v>Mobile</v>
      </c>
      <c r="G617">
        <v>12</v>
      </c>
      <c r="H617">
        <v>0</v>
      </c>
      <c r="I617">
        <v>0</v>
      </c>
    </row>
    <row r="618" spans="1:9">
      <c r="A618" t="s">
        <v>636</v>
      </c>
      <c r="B618" t="s">
        <v>15</v>
      </c>
      <c r="C618" t="str">
        <f t="shared" si="18"/>
        <v>B</v>
      </c>
      <c r="D618" t="s">
        <v>20</v>
      </c>
      <c r="E618" t="s">
        <v>10</v>
      </c>
      <c r="F618" t="str">
        <f t="shared" si="19"/>
        <v>Mobile</v>
      </c>
      <c r="G618">
        <v>2</v>
      </c>
      <c r="H618">
        <v>0</v>
      </c>
      <c r="I618">
        <v>0</v>
      </c>
    </row>
    <row r="619" spans="1:9">
      <c r="A619" t="s">
        <v>637</v>
      </c>
      <c r="B619" t="s">
        <v>8</v>
      </c>
      <c r="C619" t="str">
        <f t="shared" si="18"/>
        <v>A</v>
      </c>
      <c r="D619" t="s">
        <v>18</v>
      </c>
      <c r="E619" t="s">
        <v>23</v>
      </c>
      <c r="F619" t="str">
        <f t="shared" si="19"/>
        <v>Desktop</v>
      </c>
      <c r="G619">
        <v>5</v>
      </c>
      <c r="H619">
        <v>0</v>
      </c>
      <c r="I619">
        <v>0</v>
      </c>
    </row>
    <row r="620" spans="1:9">
      <c r="A620" t="s">
        <v>638</v>
      </c>
      <c r="B620" t="s">
        <v>8</v>
      </c>
      <c r="C620" t="str">
        <f t="shared" si="18"/>
        <v>A</v>
      </c>
      <c r="D620" t="s">
        <v>9</v>
      </c>
      <c r="E620" t="s">
        <v>10</v>
      </c>
      <c r="F620" t="str">
        <f t="shared" si="19"/>
        <v>Mobile</v>
      </c>
      <c r="G620">
        <v>3</v>
      </c>
      <c r="H620">
        <v>0</v>
      </c>
      <c r="I620">
        <v>0</v>
      </c>
    </row>
    <row r="621" spans="1:9">
      <c r="A621" t="s">
        <v>639</v>
      </c>
      <c r="B621" t="s">
        <v>15</v>
      </c>
      <c r="C621" t="str">
        <f t="shared" si="18"/>
        <v>B</v>
      </c>
      <c r="D621" t="s">
        <v>9</v>
      </c>
      <c r="E621" t="s">
        <v>23</v>
      </c>
      <c r="F621" t="str">
        <f t="shared" si="19"/>
        <v>Desktop</v>
      </c>
      <c r="G621">
        <v>5</v>
      </c>
      <c r="H621">
        <v>0</v>
      </c>
      <c r="I621">
        <v>0</v>
      </c>
    </row>
    <row r="622" spans="1:9">
      <c r="A622" t="s">
        <v>640</v>
      </c>
      <c r="B622" t="s">
        <v>15</v>
      </c>
      <c r="C622" t="str">
        <f t="shared" si="18"/>
        <v>B</v>
      </c>
      <c r="D622" t="s">
        <v>9</v>
      </c>
      <c r="E622" t="s">
        <v>23</v>
      </c>
      <c r="F622" t="str">
        <f t="shared" si="19"/>
        <v>Desktop</v>
      </c>
      <c r="G622">
        <v>8</v>
      </c>
      <c r="H622">
        <v>0</v>
      </c>
      <c r="I622">
        <v>0</v>
      </c>
    </row>
    <row r="623" spans="1:9">
      <c r="A623" t="s">
        <v>641</v>
      </c>
      <c r="B623" t="s">
        <v>15</v>
      </c>
      <c r="C623" t="str">
        <f t="shared" si="18"/>
        <v>B</v>
      </c>
      <c r="D623" t="s">
        <v>18</v>
      </c>
      <c r="E623" t="s">
        <v>10</v>
      </c>
      <c r="F623" t="str">
        <f t="shared" si="19"/>
        <v>Mobile</v>
      </c>
      <c r="G623">
        <v>3</v>
      </c>
      <c r="H623">
        <v>1</v>
      </c>
      <c r="I623">
        <v>1464.91</v>
      </c>
    </row>
    <row r="624" spans="1:9">
      <c r="A624" t="s">
        <v>642</v>
      </c>
      <c r="B624" t="s">
        <v>15</v>
      </c>
      <c r="C624" t="str">
        <f t="shared" si="18"/>
        <v>B</v>
      </c>
      <c r="D624" t="s">
        <v>13</v>
      </c>
      <c r="E624" t="s">
        <v>10</v>
      </c>
      <c r="F624" t="str">
        <f t="shared" si="19"/>
        <v>Mobile</v>
      </c>
      <c r="G624">
        <v>11</v>
      </c>
      <c r="H624">
        <v>0</v>
      </c>
      <c r="I624">
        <v>0</v>
      </c>
    </row>
    <row r="625" spans="1:9">
      <c r="A625" t="s">
        <v>643</v>
      </c>
      <c r="B625" t="s">
        <v>8</v>
      </c>
      <c r="C625" t="str">
        <f t="shared" si="18"/>
        <v>A</v>
      </c>
      <c r="D625" t="s">
        <v>20</v>
      </c>
      <c r="E625" t="s">
        <v>10</v>
      </c>
      <c r="F625" t="str">
        <f t="shared" si="19"/>
        <v>Mobile</v>
      </c>
      <c r="G625">
        <v>2</v>
      </c>
      <c r="H625">
        <v>1</v>
      </c>
      <c r="I625">
        <v>1672.63</v>
      </c>
    </row>
    <row r="626" spans="1:9">
      <c r="A626" t="s">
        <v>644</v>
      </c>
      <c r="B626" t="s">
        <v>8</v>
      </c>
      <c r="C626" t="str">
        <f t="shared" si="18"/>
        <v>A</v>
      </c>
      <c r="D626" t="s">
        <v>13</v>
      </c>
      <c r="E626" t="s">
        <v>10</v>
      </c>
      <c r="F626" t="str">
        <f t="shared" si="19"/>
        <v>Mobile</v>
      </c>
      <c r="G626">
        <v>5</v>
      </c>
      <c r="H626">
        <v>0</v>
      </c>
      <c r="I626">
        <v>0</v>
      </c>
    </row>
    <row r="627" spans="1:9">
      <c r="A627" t="s">
        <v>645</v>
      </c>
      <c r="B627" t="s">
        <v>15</v>
      </c>
      <c r="C627" t="str">
        <f t="shared" si="18"/>
        <v>B</v>
      </c>
      <c r="D627" t="s">
        <v>13</v>
      </c>
      <c r="E627" t="s">
        <v>23</v>
      </c>
      <c r="F627" t="str">
        <f t="shared" si="19"/>
        <v>Desktop</v>
      </c>
      <c r="G627">
        <v>4</v>
      </c>
      <c r="H627">
        <v>0</v>
      </c>
      <c r="I627">
        <v>0</v>
      </c>
    </row>
    <row r="628" spans="1:9">
      <c r="A628" t="s">
        <v>646</v>
      </c>
      <c r="B628" t="s">
        <v>8</v>
      </c>
      <c r="C628" t="str">
        <f t="shared" si="18"/>
        <v>A</v>
      </c>
      <c r="D628" t="s">
        <v>13</v>
      </c>
      <c r="E628" t="s">
        <v>16</v>
      </c>
      <c r="F628" t="str">
        <f t="shared" si="19"/>
        <v>Mobile</v>
      </c>
      <c r="G628">
        <v>3</v>
      </c>
      <c r="H628">
        <v>1</v>
      </c>
      <c r="I628">
        <v>2257.5500000000002</v>
      </c>
    </row>
    <row r="629" spans="1:9">
      <c r="A629" t="s">
        <v>647</v>
      </c>
      <c r="B629" t="s">
        <v>8</v>
      </c>
      <c r="C629" t="str">
        <f t="shared" si="18"/>
        <v>A</v>
      </c>
      <c r="D629" t="s">
        <v>13</v>
      </c>
      <c r="E629" t="s">
        <v>10</v>
      </c>
      <c r="F629" t="str">
        <f t="shared" si="19"/>
        <v>Mobile</v>
      </c>
      <c r="G629">
        <v>9</v>
      </c>
      <c r="H629">
        <v>0</v>
      </c>
      <c r="I629">
        <v>0</v>
      </c>
    </row>
    <row r="630" spans="1:9">
      <c r="A630" t="s">
        <v>648</v>
      </c>
      <c r="B630" t="s">
        <v>8</v>
      </c>
      <c r="C630" t="str">
        <f t="shared" si="18"/>
        <v>A</v>
      </c>
      <c r="D630" t="s">
        <v>20</v>
      </c>
      <c r="E630" t="s">
        <v>10</v>
      </c>
      <c r="F630" t="str">
        <f t="shared" si="19"/>
        <v>Mobile</v>
      </c>
      <c r="G630">
        <v>12</v>
      </c>
      <c r="H630">
        <v>0</v>
      </c>
      <c r="I630">
        <v>0</v>
      </c>
    </row>
    <row r="631" spans="1:9">
      <c r="A631" t="s">
        <v>649</v>
      </c>
      <c r="B631" t="s">
        <v>8</v>
      </c>
      <c r="C631" t="str">
        <f t="shared" si="18"/>
        <v>A</v>
      </c>
      <c r="D631" t="s">
        <v>20</v>
      </c>
      <c r="E631" t="s">
        <v>23</v>
      </c>
      <c r="F631" t="str">
        <f t="shared" si="19"/>
        <v>Desktop</v>
      </c>
      <c r="G631">
        <v>4</v>
      </c>
      <c r="H631">
        <v>0</v>
      </c>
      <c r="I631">
        <v>0</v>
      </c>
    </row>
    <row r="632" spans="1:9">
      <c r="A632" t="s">
        <v>650</v>
      </c>
      <c r="B632" t="s">
        <v>8</v>
      </c>
      <c r="C632" t="str">
        <f t="shared" si="18"/>
        <v>A</v>
      </c>
      <c r="D632" t="s">
        <v>18</v>
      </c>
      <c r="E632" t="s">
        <v>23</v>
      </c>
      <c r="F632" t="str">
        <f t="shared" si="19"/>
        <v>Desktop</v>
      </c>
      <c r="G632">
        <v>7</v>
      </c>
      <c r="H632">
        <v>0</v>
      </c>
      <c r="I632">
        <v>0</v>
      </c>
    </row>
    <row r="633" spans="1:9">
      <c r="A633" t="s">
        <v>651</v>
      </c>
      <c r="B633" t="s">
        <v>8</v>
      </c>
      <c r="C633" t="str">
        <f t="shared" si="18"/>
        <v>A</v>
      </c>
      <c r="D633" t="s">
        <v>13</v>
      </c>
      <c r="E633" t="s">
        <v>10</v>
      </c>
      <c r="F633" t="str">
        <f t="shared" si="19"/>
        <v>Mobile</v>
      </c>
      <c r="G633">
        <v>2</v>
      </c>
      <c r="H633">
        <v>0</v>
      </c>
      <c r="I633">
        <v>0</v>
      </c>
    </row>
    <row r="634" spans="1:9">
      <c r="A634" t="s">
        <v>652</v>
      </c>
      <c r="B634" t="s">
        <v>8</v>
      </c>
      <c r="C634" t="str">
        <f t="shared" si="18"/>
        <v>A</v>
      </c>
      <c r="D634" t="s">
        <v>13</v>
      </c>
      <c r="E634" t="s">
        <v>10</v>
      </c>
      <c r="F634" t="str">
        <f t="shared" si="19"/>
        <v>Mobile</v>
      </c>
      <c r="G634">
        <v>5</v>
      </c>
      <c r="H634">
        <v>1</v>
      </c>
      <c r="I634">
        <v>2305.92</v>
      </c>
    </row>
    <row r="635" spans="1:9">
      <c r="A635" t="s">
        <v>653</v>
      </c>
      <c r="B635" t="s">
        <v>8</v>
      </c>
      <c r="C635" t="str">
        <f t="shared" si="18"/>
        <v>A</v>
      </c>
      <c r="D635" t="s">
        <v>20</v>
      </c>
      <c r="E635" t="s">
        <v>23</v>
      </c>
      <c r="F635" t="str">
        <f t="shared" si="19"/>
        <v>Desktop</v>
      </c>
      <c r="G635">
        <v>5</v>
      </c>
      <c r="H635">
        <v>0</v>
      </c>
      <c r="I635">
        <v>0</v>
      </c>
    </row>
    <row r="636" spans="1:9">
      <c r="A636" t="s">
        <v>654</v>
      </c>
      <c r="B636" t="s">
        <v>15</v>
      </c>
      <c r="C636" t="str">
        <f t="shared" si="18"/>
        <v>B</v>
      </c>
      <c r="D636" t="s">
        <v>20</v>
      </c>
      <c r="E636" t="s">
        <v>10</v>
      </c>
      <c r="F636" t="str">
        <f t="shared" si="19"/>
        <v>Mobile</v>
      </c>
      <c r="G636">
        <v>3</v>
      </c>
      <c r="H636">
        <v>0</v>
      </c>
      <c r="I636">
        <v>0</v>
      </c>
    </row>
    <row r="637" spans="1:9">
      <c r="A637" t="s">
        <v>655</v>
      </c>
      <c r="B637" t="s">
        <v>15</v>
      </c>
      <c r="C637" t="str">
        <f t="shared" si="18"/>
        <v>B</v>
      </c>
      <c r="D637" t="s">
        <v>9</v>
      </c>
      <c r="E637" t="s">
        <v>10</v>
      </c>
      <c r="F637" t="str">
        <f t="shared" si="19"/>
        <v>Mobile</v>
      </c>
      <c r="G637">
        <v>6</v>
      </c>
      <c r="H637">
        <v>0</v>
      </c>
      <c r="I637">
        <v>0</v>
      </c>
    </row>
    <row r="638" spans="1:9">
      <c r="A638" t="s">
        <v>656</v>
      </c>
      <c r="B638" t="s">
        <v>15</v>
      </c>
      <c r="C638" t="str">
        <f t="shared" si="18"/>
        <v>B</v>
      </c>
      <c r="D638" t="s">
        <v>13</v>
      </c>
      <c r="E638" t="s">
        <v>23</v>
      </c>
      <c r="F638" t="str">
        <f t="shared" si="19"/>
        <v>Desktop</v>
      </c>
      <c r="G638">
        <v>11</v>
      </c>
      <c r="H638">
        <v>0</v>
      </c>
      <c r="I638">
        <v>0</v>
      </c>
    </row>
    <row r="639" spans="1:9">
      <c r="A639" t="s">
        <v>657</v>
      </c>
      <c r="B639" t="s">
        <v>15</v>
      </c>
      <c r="C639" t="str">
        <f t="shared" si="18"/>
        <v>B</v>
      </c>
      <c r="D639" t="s">
        <v>9</v>
      </c>
      <c r="E639" t="s">
        <v>23</v>
      </c>
      <c r="F639" t="str">
        <f t="shared" si="19"/>
        <v>Desktop</v>
      </c>
      <c r="G639">
        <v>4</v>
      </c>
      <c r="H639">
        <v>1</v>
      </c>
      <c r="I639">
        <v>3725.76</v>
      </c>
    </row>
    <row r="640" spans="1:9">
      <c r="A640" t="s">
        <v>658</v>
      </c>
      <c r="B640" t="s">
        <v>15</v>
      </c>
      <c r="C640" t="str">
        <f t="shared" si="18"/>
        <v>B</v>
      </c>
      <c r="D640" t="s">
        <v>13</v>
      </c>
      <c r="E640" t="s">
        <v>23</v>
      </c>
      <c r="F640" t="str">
        <f t="shared" si="19"/>
        <v>Desktop</v>
      </c>
      <c r="G640">
        <v>7</v>
      </c>
      <c r="H640">
        <v>0</v>
      </c>
      <c r="I640">
        <v>0</v>
      </c>
    </row>
    <row r="641" spans="1:9">
      <c r="A641" t="s">
        <v>659</v>
      </c>
      <c r="B641" t="s">
        <v>8</v>
      </c>
      <c r="C641" t="str">
        <f t="shared" si="18"/>
        <v>A</v>
      </c>
      <c r="D641" t="s">
        <v>13</v>
      </c>
      <c r="E641" t="s">
        <v>23</v>
      </c>
      <c r="F641" t="str">
        <f t="shared" si="19"/>
        <v>Desktop</v>
      </c>
      <c r="G641">
        <v>9</v>
      </c>
      <c r="H641">
        <v>0</v>
      </c>
      <c r="I641">
        <v>0</v>
      </c>
    </row>
    <row r="642" spans="1:9">
      <c r="A642" t="s">
        <v>660</v>
      </c>
      <c r="B642" t="s">
        <v>15</v>
      </c>
      <c r="C642" t="str">
        <f t="shared" ref="C642:C705" si="20">IF(OR(B642="control", B642="A"), "A", "B")</f>
        <v>B</v>
      </c>
      <c r="D642" t="s">
        <v>20</v>
      </c>
      <c r="E642" t="s">
        <v>23</v>
      </c>
      <c r="F642" t="str">
        <f t="shared" ref="F642:F705" si="21">PROPER(E642)</f>
        <v>Desktop</v>
      </c>
      <c r="G642">
        <v>6</v>
      </c>
      <c r="H642">
        <v>0</v>
      </c>
      <c r="I642">
        <v>0</v>
      </c>
    </row>
    <row r="643" spans="1:9">
      <c r="A643" t="s">
        <v>661</v>
      </c>
      <c r="B643" t="s">
        <v>15</v>
      </c>
      <c r="C643" t="str">
        <f t="shared" si="20"/>
        <v>B</v>
      </c>
      <c r="D643" t="s">
        <v>13</v>
      </c>
      <c r="E643" t="s">
        <v>10</v>
      </c>
      <c r="F643" t="str">
        <f t="shared" si="21"/>
        <v>Mobile</v>
      </c>
      <c r="G643">
        <v>8</v>
      </c>
      <c r="H643">
        <v>0</v>
      </c>
      <c r="I643">
        <v>0</v>
      </c>
    </row>
    <row r="644" spans="1:9">
      <c r="A644" t="s">
        <v>662</v>
      </c>
      <c r="B644" t="s">
        <v>15</v>
      </c>
      <c r="C644" t="str">
        <f t="shared" si="20"/>
        <v>B</v>
      </c>
      <c r="D644" t="s">
        <v>13</v>
      </c>
      <c r="E644" t="s">
        <v>10</v>
      </c>
      <c r="F644" t="str">
        <f t="shared" si="21"/>
        <v>Mobile</v>
      </c>
      <c r="G644">
        <v>10</v>
      </c>
      <c r="H644">
        <v>0</v>
      </c>
      <c r="I644">
        <v>0</v>
      </c>
    </row>
    <row r="645" spans="1:9">
      <c r="A645" t="s">
        <v>663</v>
      </c>
      <c r="B645" t="s">
        <v>8</v>
      </c>
      <c r="C645" t="str">
        <f t="shared" si="20"/>
        <v>A</v>
      </c>
      <c r="D645" t="s">
        <v>13</v>
      </c>
      <c r="E645" t="s">
        <v>10</v>
      </c>
      <c r="F645" t="str">
        <f t="shared" si="21"/>
        <v>Mobile</v>
      </c>
      <c r="G645">
        <v>9</v>
      </c>
      <c r="H645">
        <v>1</v>
      </c>
      <c r="I645">
        <v>2348.02</v>
      </c>
    </row>
    <row r="646" spans="1:9">
      <c r="A646" t="s">
        <v>664</v>
      </c>
      <c r="B646" t="s">
        <v>8</v>
      </c>
      <c r="C646" t="str">
        <f t="shared" si="20"/>
        <v>A</v>
      </c>
      <c r="D646" t="s">
        <v>13</v>
      </c>
      <c r="E646" t="s">
        <v>10</v>
      </c>
      <c r="F646" t="str">
        <f t="shared" si="21"/>
        <v>Mobile</v>
      </c>
      <c r="G646">
        <v>5</v>
      </c>
      <c r="H646">
        <v>0</v>
      </c>
      <c r="I646">
        <v>0</v>
      </c>
    </row>
    <row r="647" spans="1:9">
      <c r="A647" t="s">
        <v>665</v>
      </c>
      <c r="B647" t="s">
        <v>8</v>
      </c>
      <c r="C647" t="str">
        <f t="shared" si="20"/>
        <v>A</v>
      </c>
      <c r="D647" t="s">
        <v>18</v>
      </c>
      <c r="E647" t="s">
        <v>23</v>
      </c>
      <c r="F647" t="str">
        <f t="shared" si="21"/>
        <v>Desktop</v>
      </c>
      <c r="G647">
        <v>4</v>
      </c>
      <c r="H647">
        <v>0</v>
      </c>
      <c r="I647">
        <v>0</v>
      </c>
    </row>
    <row r="648" spans="1:9">
      <c r="A648" t="s">
        <v>666</v>
      </c>
      <c r="B648" t="s">
        <v>8</v>
      </c>
      <c r="C648" t="str">
        <f t="shared" si="20"/>
        <v>A</v>
      </c>
      <c r="D648" t="s">
        <v>20</v>
      </c>
      <c r="E648" t="s">
        <v>16</v>
      </c>
      <c r="F648" t="str">
        <f t="shared" si="21"/>
        <v>Mobile</v>
      </c>
      <c r="G648">
        <v>6</v>
      </c>
      <c r="H648">
        <v>0</v>
      </c>
      <c r="I648">
        <v>0</v>
      </c>
    </row>
    <row r="649" spans="1:9">
      <c r="A649" t="s">
        <v>667</v>
      </c>
      <c r="B649" t="s">
        <v>15</v>
      </c>
      <c r="C649" t="str">
        <f t="shared" si="20"/>
        <v>B</v>
      </c>
      <c r="D649" t="s">
        <v>9</v>
      </c>
      <c r="E649" t="s">
        <v>33</v>
      </c>
      <c r="F649" t="str">
        <f t="shared" si="21"/>
        <v>Desktop</v>
      </c>
      <c r="G649">
        <v>6</v>
      </c>
      <c r="H649">
        <v>1</v>
      </c>
      <c r="I649">
        <v>6672.12</v>
      </c>
    </row>
    <row r="650" spans="1:9">
      <c r="A650" t="s">
        <v>668</v>
      </c>
      <c r="B650" t="s">
        <v>15</v>
      </c>
      <c r="C650" t="str">
        <f t="shared" si="20"/>
        <v>B</v>
      </c>
      <c r="D650" t="s">
        <v>20</v>
      </c>
      <c r="E650" t="s">
        <v>23</v>
      </c>
      <c r="F650" t="str">
        <f t="shared" si="21"/>
        <v>Desktop</v>
      </c>
      <c r="G650">
        <v>8</v>
      </c>
      <c r="H650">
        <v>0</v>
      </c>
      <c r="I650">
        <v>0</v>
      </c>
    </row>
    <row r="651" spans="1:9">
      <c r="A651" t="s">
        <v>669</v>
      </c>
      <c r="B651" t="s">
        <v>8</v>
      </c>
      <c r="C651" t="str">
        <f t="shared" si="20"/>
        <v>A</v>
      </c>
      <c r="D651" t="s">
        <v>13</v>
      </c>
      <c r="E651" t="s">
        <v>10</v>
      </c>
      <c r="F651" t="str">
        <f t="shared" si="21"/>
        <v>Mobile</v>
      </c>
      <c r="G651">
        <v>9</v>
      </c>
      <c r="H651">
        <v>0</v>
      </c>
      <c r="I651">
        <v>0</v>
      </c>
    </row>
    <row r="652" spans="1:9">
      <c r="A652" t="s">
        <v>670</v>
      </c>
      <c r="B652" t="s">
        <v>29</v>
      </c>
      <c r="C652" t="str">
        <f t="shared" si="20"/>
        <v>B</v>
      </c>
      <c r="D652" t="s">
        <v>20</v>
      </c>
      <c r="E652" t="s">
        <v>10</v>
      </c>
      <c r="F652" t="str">
        <f t="shared" si="21"/>
        <v>Mobile</v>
      </c>
      <c r="G652">
        <v>10</v>
      </c>
      <c r="H652">
        <v>0</v>
      </c>
      <c r="I652">
        <v>0</v>
      </c>
    </row>
    <row r="653" spans="1:9">
      <c r="A653" t="s">
        <v>671</v>
      </c>
      <c r="B653" t="s">
        <v>15</v>
      </c>
      <c r="C653" t="str">
        <f t="shared" si="20"/>
        <v>B</v>
      </c>
      <c r="D653" t="s">
        <v>20</v>
      </c>
      <c r="E653" t="s">
        <v>23</v>
      </c>
      <c r="F653" t="str">
        <f t="shared" si="21"/>
        <v>Desktop</v>
      </c>
      <c r="G653">
        <v>3</v>
      </c>
      <c r="H653">
        <v>0</v>
      </c>
      <c r="I653">
        <v>0</v>
      </c>
    </row>
    <row r="654" spans="1:9">
      <c r="A654" t="s">
        <v>672</v>
      </c>
      <c r="B654" t="s">
        <v>8</v>
      </c>
      <c r="C654" t="str">
        <f t="shared" si="20"/>
        <v>A</v>
      </c>
      <c r="D654" t="s">
        <v>13</v>
      </c>
      <c r="E654" t="s">
        <v>23</v>
      </c>
      <c r="F654" t="str">
        <f t="shared" si="21"/>
        <v>Desktop</v>
      </c>
      <c r="G654">
        <v>8</v>
      </c>
      <c r="H654">
        <v>0</v>
      </c>
      <c r="I654">
        <v>0</v>
      </c>
    </row>
    <row r="655" spans="1:9">
      <c r="A655" t="s">
        <v>673</v>
      </c>
      <c r="B655" t="s">
        <v>8</v>
      </c>
      <c r="C655" t="str">
        <f t="shared" si="20"/>
        <v>A</v>
      </c>
      <c r="D655" t="s">
        <v>20</v>
      </c>
      <c r="E655" t="s">
        <v>23</v>
      </c>
      <c r="F655" t="str">
        <f t="shared" si="21"/>
        <v>Desktop</v>
      </c>
      <c r="G655">
        <v>2</v>
      </c>
      <c r="H655">
        <v>0</v>
      </c>
      <c r="I655">
        <v>0</v>
      </c>
    </row>
    <row r="656" spans="1:9">
      <c r="A656" t="s">
        <v>674</v>
      </c>
      <c r="B656" t="s">
        <v>8</v>
      </c>
      <c r="C656" t="str">
        <f t="shared" si="20"/>
        <v>A</v>
      </c>
      <c r="D656" t="s">
        <v>13</v>
      </c>
      <c r="E656" t="s">
        <v>23</v>
      </c>
      <c r="F656" t="str">
        <f t="shared" si="21"/>
        <v>Desktop</v>
      </c>
      <c r="G656">
        <v>4</v>
      </c>
      <c r="H656">
        <v>0</v>
      </c>
      <c r="I656">
        <v>0</v>
      </c>
    </row>
    <row r="657" spans="1:9">
      <c r="A657" t="s">
        <v>675</v>
      </c>
      <c r="B657" t="s">
        <v>8</v>
      </c>
      <c r="C657" t="str">
        <f t="shared" si="20"/>
        <v>A</v>
      </c>
      <c r="D657" t="s">
        <v>18</v>
      </c>
      <c r="E657" t="s">
        <v>23</v>
      </c>
      <c r="F657" t="str">
        <f t="shared" si="21"/>
        <v>Desktop</v>
      </c>
      <c r="G657">
        <v>3</v>
      </c>
      <c r="H657">
        <v>0</v>
      </c>
      <c r="I657">
        <v>0</v>
      </c>
    </row>
    <row r="658" spans="1:9">
      <c r="A658" t="s">
        <v>676</v>
      </c>
      <c r="B658" t="s">
        <v>8</v>
      </c>
      <c r="C658" t="str">
        <f t="shared" si="20"/>
        <v>A</v>
      </c>
      <c r="D658" t="s">
        <v>20</v>
      </c>
      <c r="E658" t="s">
        <v>16</v>
      </c>
      <c r="F658" t="str">
        <f t="shared" si="21"/>
        <v>Mobile</v>
      </c>
      <c r="G658">
        <v>3</v>
      </c>
      <c r="H658">
        <v>0</v>
      </c>
      <c r="I658">
        <v>0</v>
      </c>
    </row>
    <row r="659" spans="1:9">
      <c r="A659" t="s">
        <v>677</v>
      </c>
      <c r="B659" t="s">
        <v>8</v>
      </c>
      <c r="C659" t="str">
        <f t="shared" si="20"/>
        <v>A</v>
      </c>
      <c r="D659" t="s">
        <v>13</v>
      </c>
      <c r="E659" t="s">
        <v>10</v>
      </c>
      <c r="F659" t="str">
        <f t="shared" si="21"/>
        <v>Mobile</v>
      </c>
      <c r="G659">
        <v>8</v>
      </c>
      <c r="H659">
        <v>0</v>
      </c>
      <c r="I659">
        <v>0</v>
      </c>
    </row>
    <row r="660" spans="1:9">
      <c r="A660" t="s">
        <v>678</v>
      </c>
      <c r="B660" t="s">
        <v>8</v>
      </c>
      <c r="C660" t="str">
        <f t="shared" si="20"/>
        <v>A</v>
      </c>
      <c r="D660" t="s">
        <v>20</v>
      </c>
      <c r="E660" t="s">
        <v>23</v>
      </c>
      <c r="F660" t="str">
        <f t="shared" si="21"/>
        <v>Desktop</v>
      </c>
      <c r="G660">
        <v>6</v>
      </c>
      <c r="H660">
        <v>0</v>
      </c>
      <c r="I660">
        <v>0</v>
      </c>
    </row>
    <row r="661" spans="1:9">
      <c r="A661" t="s">
        <v>679</v>
      </c>
      <c r="B661" t="s">
        <v>8</v>
      </c>
      <c r="C661" t="str">
        <f t="shared" si="20"/>
        <v>A</v>
      </c>
      <c r="D661" t="s">
        <v>13</v>
      </c>
      <c r="E661" t="s">
        <v>16</v>
      </c>
      <c r="F661" t="str">
        <f t="shared" si="21"/>
        <v>Mobile</v>
      </c>
      <c r="G661">
        <v>6</v>
      </c>
      <c r="H661">
        <v>0</v>
      </c>
      <c r="I661">
        <v>0</v>
      </c>
    </row>
    <row r="662" spans="1:9">
      <c r="A662" t="s">
        <v>680</v>
      </c>
      <c r="B662" t="s">
        <v>15</v>
      </c>
      <c r="C662" t="str">
        <f t="shared" si="20"/>
        <v>B</v>
      </c>
      <c r="D662" t="s">
        <v>20</v>
      </c>
      <c r="E662" t="s">
        <v>10</v>
      </c>
      <c r="F662" t="str">
        <f t="shared" si="21"/>
        <v>Mobile</v>
      </c>
      <c r="G662">
        <v>7</v>
      </c>
      <c r="H662">
        <v>0</v>
      </c>
      <c r="I662">
        <v>0</v>
      </c>
    </row>
    <row r="663" spans="1:9">
      <c r="A663" t="s">
        <v>681</v>
      </c>
      <c r="B663" t="s">
        <v>8</v>
      </c>
      <c r="C663" t="str">
        <f t="shared" si="20"/>
        <v>A</v>
      </c>
      <c r="D663" t="s">
        <v>20</v>
      </c>
      <c r="E663" t="s">
        <v>23</v>
      </c>
      <c r="F663" t="str">
        <f t="shared" si="21"/>
        <v>Desktop</v>
      </c>
      <c r="G663">
        <v>7</v>
      </c>
      <c r="H663">
        <v>0</v>
      </c>
      <c r="I663">
        <v>0</v>
      </c>
    </row>
    <row r="664" spans="1:9">
      <c r="A664" t="s">
        <v>682</v>
      </c>
      <c r="B664" t="s">
        <v>15</v>
      </c>
      <c r="C664" t="str">
        <f t="shared" si="20"/>
        <v>B</v>
      </c>
      <c r="D664" t="s">
        <v>20</v>
      </c>
      <c r="E664" t="s">
        <v>10</v>
      </c>
      <c r="F664" t="str">
        <f t="shared" si="21"/>
        <v>Mobile</v>
      </c>
      <c r="G664">
        <v>4</v>
      </c>
      <c r="H664">
        <v>1</v>
      </c>
      <c r="I664">
        <v>1312.68</v>
      </c>
    </row>
    <row r="665" spans="1:9">
      <c r="A665" t="s">
        <v>683</v>
      </c>
      <c r="B665" t="s">
        <v>8</v>
      </c>
      <c r="C665" t="str">
        <f t="shared" si="20"/>
        <v>A</v>
      </c>
      <c r="D665" t="s">
        <v>20</v>
      </c>
      <c r="E665" t="s">
        <v>33</v>
      </c>
      <c r="F665" t="str">
        <f t="shared" si="21"/>
        <v>Desktop</v>
      </c>
      <c r="G665">
        <v>3</v>
      </c>
      <c r="H665">
        <v>0</v>
      </c>
      <c r="I665">
        <v>0</v>
      </c>
    </row>
    <row r="666" spans="1:9">
      <c r="A666" t="s">
        <v>684</v>
      </c>
      <c r="B666" t="s">
        <v>29</v>
      </c>
      <c r="C666" t="str">
        <f t="shared" si="20"/>
        <v>B</v>
      </c>
      <c r="D666" t="s">
        <v>20</v>
      </c>
      <c r="E666" t="s">
        <v>10</v>
      </c>
      <c r="F666" t="str">
        <f t="shared" si="21"/>
        <v>Mobile</v>
      </c>
      <c r="G666">
        <v>9</v>
      </c>
      <c r="H666">
        <v>0</v>
      </c>
      <c r="I666">
        <v>0</v>
      </c>
    </row>
    <row r="667" spans="1:9">
      <c r="A667" t="s">
        <v>685</v>
      </c>
      <c r="B667" t="s">
        <v>8</v>
      </c>
      <c r="C667" t="str">
        <f t="shared" si="20"/>
        <v>A</v>
      </c>
      <c r="D667" t="s">
        <v>13</v>
      </c>
      <c r="E667" t="s">
        <v>23</v>
      </c>
      <c r="F667" t="str">
        <f t="shared" si="21"/>
        <v>Desktop</v>
      </c>
      <c r="G667">
        <v>2</v>
      </c>
      <c r="H667">
        <v>0</v>
      </c>
      <c r="I667">
        <v>0</v>
      </c>
    </row>
    <row r="668" spans="1:9">
      <c r="A668" t="s">
        <v>686</v>
      </c>
      <c r="B668" t="s">
        <v>8</v>
      </c>
      <c r="C668" t="str">
        <f t="shared" si="20"/>
        <v>A</v>
      </c>
      <c r="D668" t="s">
        <v>9</v>
      </c>
      <c r="E668" t="s">
        <v>10</v>
      </c>
      <c r="F668" t="str">
        <f t="shared" si="21"/>
        <v>Mobile</v>
      </c>
      <c r="G668">
        <v>5</v>
      </c>
      <c r="H668">
        <v>1</v>
      </c>
      <c r="I668">
        <v>6338.29</v>
      </c>
    </row>
    <row r="669" spans="1:9">
      <c r="A669" t="s">
        <v>687</v>
      </c>
      <c r="B669" t="s">
        <v>29</v>
      </c>
      <c r="C669" t="str">
        <f t="shared" si="20"/>
        <v>B</v>
      </c>
      <c r="D669" t="s">
        <v>9</v>
      </c>
      <c r="E669" t="s">
        <v>23</v>
      </c>
      <c r="F669" t="str">
        <f t="shared" si="21"/>
        <v>Desktop</v>
      </c>
      <c r="G669">
        <v>5</v>
      </c>
      <c r="H669">
        <v>0</v>
      </c>
      <c r="I669">
        <v>0</v>
      </c>
    </row>
    <row r="670" spans="1:9">
      <c r="A670" t="s">
        <v>688</v>
      </c>
      <c r="B670" t="s">
        <v>15</v>
      </c>
      <c r="C670" t="str">
        <f t="shared" si="20"/>
        <v>B</v>
      </c>
      <c r="D670" t="s">
        <v>13</v>
      </c>
      <c r="E670" t="s">
        <v>10</v>
      </c>
      <c r="F670" t="str">
        <f t="shared" si="21"/>
        <v>Mobile</v>
      </c>
      <c r="G670">
        <v>7</v>
      </c>
      <c r="H670">
        <v>0</v>
      </c>
      <c r="I670">
        <v>0</v>
      </c>
    </row>
    <row r="671" spans="1:9">
      <c r="A671" t="s">
        <v>689</v>
      </c>
      <c r="B671" t="s">
        <v>15</v>
      </c>
      <c r="C671" t="str">
        <f t="shared" si="20"/>
        <v>B</v>
      </c>
      <c r="D671" t="s">
        <v>20</v>
      </c>
      <c r="E671" t="s">
        <v>10</v>
      </c>
      <c r="F671" t="str">
        <f t="shared" si="21"/>
        <v>Mobile</v>
      </c>
      <c r="G671">
        <v>4</v>
      </c>
      <c r="H671">
        <v>0</v>
      </c>
      <c r="I671">
        <v>0</v>
      </c>
    </row>
    <row r="672" spans="1:9">
      <c r="A672" t="s">
        <v>690</v>
      </c>
      <c r="B672" t="s">
        <v>8</v>
      </c>
      <c r="C672" t="str">
        <f t="shared" si="20"/>
        <v>A</v>
      </c>
      <c r="D672" t="s">
        <v>20</v>
      </c>
      <c r="E672" t="s">
        <v>10</v>
      </c>
      <c r="F672" t="str">
        <f t="shared" si="21"/>
        <v>Mobile</v>
      </c>
      <c r="G672">
        <v>8</v>
      </c>
      <c r="H672">
        <v>1</v>
      </c>
      <c r="I672">
        <v>1303.6500000000001</v>
      </c>
    </row>
    <row r="673" spans="1:9">
      <c r="A673" t="s">
        <v>691</v>
      </c>
      <c r="B673" t="s">
        <v>8</v>
      </c>
      <c r="C673" t="str">
        <f t="shared" si="20"/>
        <v>A</v>
      </c>
      <c r="D673" t="s">
        <v>20</v>
      </c>
      <c r="E673" t="s">
        <v>33</v>
      </c>
      <c r="F673" t="str">
        <f t="shared" si="21"/>
        <v>Desktop</v>
      </c>
      <c r="G673">
        <v>7</v>
      </c>
      <c r="H673">
        <v>0</v>
      </c>
      <c r="I673">
        <v>0</v>
      </c>
    </row>
    <row r="674" spans="1:9">
      <c r="A674" t="s">
        <v>692</v>
      </c>
      <c r="B674" t="s">
        <v>15</v>
      </c>
      <c r="C674" t="str">
        <f t="shared" si="20"/>
        <v>B</v>
      </c>
      <c r="D674" t="s">
        <v>20</v>
      </c>
      <c r="E674" t="s">
        <v>10</v>
      </c>
      <c r="F674" t="str">
        <f t="shared" si="21"/>
        <v>Mobile</v>
      </c>
      <c r="G674">
        <v>5</v>
      </c>
      <c r="H674">
        <v>1</v>
      </c>
      <c r="I674">
        <v>1590.11</v>
      </c>
    </row>
    <row r="675" spans="1:9">
      <c r="A675" t="s">
        <v>693</v>
      </c>
      <c r="B675" t="s">
        <v>12</v>
      </c>
      <c r="C675" t="str">
        <f t="shared" si="20"/>
        <v>A</v>
      </c>
      <c r="D675" t="s">
        <v>13</v>
      </c>
      <c r="E675" t="s">
        <v>10</v>
      </c>
      <c r="F675" t="str">
        <f t="shared" si="21"/>
        <v>Mobile</v>
      </c>
      <c r="G675">
        <v>8</v>
      </c>
      <c r="H675">
        <v>0</v>
      </c>
      <c r="I675">
        <v>0</v>
      </c>
    </row>
    <row r="676" spans="1:9">
      <c r="A676" t="s">
        <v>694</v>
      </c>
      <c r="B676" t="s">
        <v>15</v>
      </c>
      <c r="C676" t="str">
        <f t="shared" si="20"/>
        <v>B</v>
      </c>
      <c r="D676" t="s">
        <v>13</v>
      </c>
      <c r="E676" t="s">
        <v>23</v>
      </c>
      <c r="F676" t="str">
        <f t="shared" si="21"/>
        <v>Desktop</v>
      </c>
      <c r="G676">
        <v>8</v>
      </c>
      <c r="H676">
        <v>0</v>
      </c>
      <c r="I676">
        <v>0</v>
      </c>
    </row>
    <row r="677" spans="1:9">
      <c r="A677" t="s">
        <v>695</v>
      </c>
      <c r="B677" t="s">
        <v>15</v>
      </c>
      <c r="C677" t="str">
        <f t="shared" si="20"/>
        <v>B</v>
      </c>
      <c r="D677" t="s">
        <v>20</v>
      </c>
      <c r="E677" t="s">
        <v>10</v>
      </c>
      <c r="F677" t="str">
        <f t="shared" si="21"/>
        <v>Mobile</v>
      </c>
      <c r="G677">
        <v>1</v>
      </c>
      <c r="H677">
        <v>0</v>
      </c>
      <c r="I677">
        <v>0</v>
      </c>
    </row>
    <row r="678" spans="1:9">
      <c r="A678" t="s">
        <v>696</v>
      </c>
      <c r="B678" t="s">
        <v>8</v>
      </c>
      <c r="C678" t="str">
        <f t="shared" si="20"/>
        <v>A</v>
      </c>
      <c r="D678" t="s">
        <v>20</v>
      </c>
      <c r="E678" t="s">
        <v>33</v>
      </c>
      <c r="F678" t="str">
        <f t="shared" si="21"/>
        <v>Desktop</v>
      </c>
      <c r="G678">
        <v>8</v>
      </c>
      <c r="H678">
        <v>1</v>
      </c>
      <c r="I678">
        <v>1583.94</v>
      </c>
    </row>
    <row r="679" spans="1:9">
      <c r="A679" t="s">
        <v>697</v>
      </c>
      <c r="B679" t="s">
        <v>15</v>
      </c>
      <c r="C679" t="str">
        <f t="shared" si="20"/>
        <v>B</v>
      </c>
      <c r="D679" t="s">
        <v>9</v>
      </c>
      <c r="E679" t="s">
        <v>10</v>
      </c>
      <c r="F679" t="str">
        <f t="shared" si="21"/>
        <v>Mobile</v>
      </c>
      <c r="G679">
        <v>9</v>
      </c>
      <c r="H679">
        <v>1</v>
      </c>
      <c r="I679">
        <v>4435.6000000000004</v>
      </c>
    </row>
    <row r="680" spans="1:9">
      <c r="A680" t="s">
        <v>698</v>
      </c>
      <c r="B680" t="s">
        <v>8</v>
      </c>
      <c r="C680" t="str">
        <f t="shared" si="20"/>
        <v>A</v>
      </c>
      <c r="D680" t="s">
        <v>9</v>
      </c>
      <c r="E680" t="s">
        <v>23</v>
      </c>
      <c r="F680" t="str">
        <f t="shared" si="21"/>
        <v>Desktop</v>
      </c>
      <c r="G680">
        <v>7</v>
      </c>
      <c r="H680">
        <v>0</v>
      </c>
      <c r="I680">
        <v>0</v>
      </c>
    </row>
    <row r="681" spans="1:9">
      <c r="A681" t="s">
        <v>699</v>
      </c>
      <c r="B681" t="s">
        <v>8</v>
      </c>
      <c r="C681" t="str">
        <f t="shared" si="20"/>
        <v>A</v>
      </c>
      <c r="D681" t="s">
        <v>20</v>
      </c>
      <c r="E681" t="s">
        <v>10</v>
      </c>
      <c r="F681" t="str">
        <f t="shared" si="21"/>
        <v>Mobile</v>
      </c>
      <c r="G681">
        <v>1</v>
      </c>
      <c r="H681">
        <v>1</v>
      </c>
      <c r="I681">
        <v>1708.98</v>
      </c>
    </row>
    <row r="682" spans="1:9">
      <c r="A682" t="s">
        <v>700</v>
      </c>
      <c r="B682" t="s">
        <v>8</v>
      </c>
      <c r="C682" t="str">
        <f t="shared" si="20"/>
        <v>A</v>
      </c>
      <c r="D682" t="s">
        <v>9</v>
      </c>
      <c r="E682" t="s">
        <v>10</v>
      </c>
      <c r="F682" t="str">
        <f t="shared" si="21"/>
        <v>Mobile</v>
      </c>
      <c r="G682">
        <v>8</v>
      </c>
      <c r="H682">
        <v>0</v>
      </c>
      <c r="I682">
        <v>0</v>
      </c>
    </row>
    <row r="683" spans="1:9">
      <c r="A683" t="s">
        <v>701</v>
      </c>
      <c r="B683" t="s">
        <v>15</v>
      </c>
      <c r="C683" t="str">
        <f t="shared" si="20"/>
        <v>B</v>
      </c>
      <c r="D683" t="s">
        <v>18</v>
      </c>
      <c r="E683" t="s">
        <v>23</v>
      </c>
      <c r="F683" t="str">
        <f t="shared" si="21"/>
        <v>Desktop</v>
      </c>
      <c r="G683">
        <v>8</v>
      </c>
      <c r="H683">
        <v>0</v>
      </c>
      <c r="I683">
        <v>0</v>
      </c>
    </row>
    <row r="684" spans="1:9">
      <c r="A684" t="s">
        <v>702</v>
      </c>
      <c r="B684" t="s">
        <v>8</v>
      </c>
      <c r="C684" t="str">
        <f t="shared" si="20"/>
        <v>A</v>
      </c>
      <c r="D684" t="s">
        <v>20</v>
      </c>
      <c r="E684" t="s">
        <v>23</v>
      </c>
      <c r="F684" t="str">
        <f t="shared" si="21"/>
        <v>Desktop</v>
      </c>
      <c r="G684">
        <v>7</v>
      </c>
      <c r="H684">
        <v>0</v>
      </c>
      <c r="I684">
        <v>0</v>
      </c>
    </row>
    <row r="685" spans="1:9">
      <c r="A685" t="s">
        <v>703</v>
      </c>
      <c r="B685" t="s">
        <v>8</v>
      </c>
      <c r="C685" t="str">
        <f t="shared" si="20"/>
        <v>A</v>
      </c>
      <c r="D685" t="s">
        <v>20</v>
      </c>
      <c r="E685" t="s">
        <v>23</v>
      </c>
      <c r="F685" t="str">
        <f t="shared" si="21"/>
        <v>Desktop</v>
      </c>
      <c r="G685">
        <v>4</v>
      </c>
      <c r="H685">
        <v>0</v>
      </c>
      <c r="I685">
        <v>0</v>
      </c>
    </row>
    <row r="686" spans="1:9">
      <c r="A686" t="s">
        <v>704</v>
      </c>
      <c r="B686" t="s">
        <v>15</v>
      </c>
      <c r="C686" t="str">
        <f t="shared" si="20"/>
        <v>B</v>
      </c>
      <c r="D686" t="s">
        <v>13</v>
      </c>
      <c r="E686" t="s">
        <v>10</v>
      </c>
      <c r="F686" t="str">
        <f t="shared" si="21"/>
        <v>Mobile</v>
      </c>
      <c r="G686">
        <v>8</v>
      </c>
      <c r="H686">
        <v>1</v>
      </c>
      <c r="I686">
        <v>2286.92</v>
      </c>
    </row>
    <row r="687" spans="1:9">
      <c r="A687" t="s">
        <v>705</v>
      </c>
      <c r="B687" t="s">
        <v>8</v>
      </c>
      <c r="C687" t="str">
        <f t="shared" si="20"/>
        <v>A</v>
      </c>
      <c r="D687" t="s">
        <v>18</v>
      </c>
      <c r="E687" t="s">
        <v>10</v>
      </c>
      <c r="F687" t="str">
        <f t="shared" si="21"/>
        <v>Mobile</v>
      </c>
      <c r="G687">
        <v>5</v>
      </c>
      <c r="H687">
        <v>1</v>
      </c>
      <c r="I687">
        <v>1188.3699999999999</v>
      </c>
    </row>
    <row r="688" spans="1:9">
      <c r="A688" t="s">
        <v>706</v>
      </c>
      <c r="B688" t="s">
        <v>15</v>
      </c>
      <c r="C688" t="str">
        <f t="shared" si="20"/>
        <v>B</v>
      </c>
      <c r="D688" t="s">
        <v>9</v>
      </c>
      <c r="E688" t="s">
        <v>10</v>
      </c>
      <c r="F688" t="str">
        <f t="shared" si="21"/>
        <v>Mobile</v>
      </c>
      <c r="G688">
        <v>5</v>
      </c>
      <c r="H688">
        <v>0</v>
      </c>
      <c r="I688">
        <v>0</v>
      </c>
    </row>
    <row r="689" spans="1:9">
      <c r="A689" t="s">
        <v>707</v>
      </c>
      <c r="B689" t="s">
        <v>8</v>
      </c>
      <c r="C689" t="str">
        <f t="shared" si="20"/>
        <v>A</v>
      </c>
      <c r="D689" t="s">
        <v>20</v>
      </c>
      <c r="E689" t="s">
        <v>83</v>
      </c>
      <c r="F689" t="str">
        <f t="shared" si="21"/>
        <v>Tablet</v>
      </c>
      <c r="G689">
        <v>5</v>
      </c>
      <c r="H689">
        <v>0</v>
      </c>
      <c r="I689">
        <v>0</v>
      </c>
    </row>
    <row r="690" spans="1:9">
      <c r="A690" t="s">
        <v>708</v>
      </c>
      <c r="B690" t="s">
        <v>15</v>
      </c>
      <c r="C690" t="str">
        <f t="shared" si="20"/>
        <v>B</v>
      </c>
      <c r="D690" t="s">
        <v>20</v>
      </c>
      <c r="E690" t="s">
        <v>10</v>
      </c>
      <c r="F690" t="str">
        <f t="shared" si="21"/>
        <v>Mobile</v>
      </c>
      <c r="G690">
        <v>8</v>
      </c>
      <c r="H690">
        <v>0</v>
      </c>
      <c r="I690">
        <v>0</v>
      </c>
    </row>
    <row r="691" spans="1:9">
      <c r="A691" t="s">
        <v>709</v>
      </c>
      <c r="B691" t="s">
        <v>15</v>
      </c>
      <c r="C691" t="str">
        <f t="shared" si="20"/>
        <v>B</v>
      </c>
      <c r="D691" t="s">
        <v>13</v>
      </c>
      <c r="E691" t="s">
        <v>10</v>
      </c>
      <c r="F691" t="str">
        <f t="shared" si="21"/>
        <v>Mobile</v>
      </c>
      <c r="G691">
        <v>11</v>
      </c>
      <c r="H691">
        <v>0</v>
      </c>
      <c r="I691">
        <v>0</v>
      </c>
    </row>
    <row r="692" spans="1:9">
      <c r="A692" t="s">
        <v>710</v>
      </c>
      <c r="B692" t="s">
        <v>8</v>
      </c>
      <c r="C692" t="str">
        <f t="shared" si="20"/>
        <v>A</v>
      </c>
      <c r="D692" t="s">
        <v>13</v>
      </c>
      <c r="E692" t="s">
        <v>10</v>
      </c>
      <c r="F692" t="str">
        <f t="shared" si="21"/>
        <v>Mobile</v>
      </c>
      <c r="G692">
        <v>7</v>
      </c>
      <c r="H692">
        <v>0</v>
      </c>
      <c r="I692">
        <v>0</v>
      </c>
    </row>
    <row r="693" spans="1:9">
      <c r="A693" t="s">
        <v>711</v>
      </c>
      <c r="B693" t="s">
        <v>8</v>
      </c>
      <c r="C693" t="str">
        <f t="shared" si="20"/>
        <v>A</v>
      </c>
      <c r="D693" t="s">
        <v>20</v>
      </c>
      <c r="E693" t="s">
        <v>23</v>
      </c>
      <c r="F693" t="str">
        <f t="shared" si="21"/>
        <v>Desktop</v>
      </c>
      <c r="G693">
        <v>6</v>
      </c>
      <c r="H693">
        <v>0</v>
      </c>
      <c r="I693">
        <v>0</v>
      </c>
    </row>
    <row r="694" spans="1:9">
      <c r="A694" t="s">
        <v>712</v>
      </c>
      <c r="B694" t="s">
        <v>8</v>
      </c>
      <c r="C694" t="str">
        <f t="shared" si="20"/>
        <v>A</v>
      </c>
      <c r="D694" t="s">
        <v>9</v>
      </c>
      <c r="E694" t="s">
        <v>10</v>
      </c>
      <c r="F694" t="str">
        <f t="shared" si="21"/>
        <v>Mobile</v>
      </c>
      <c r="G694">
        <v>3</v>
      </c>
      <c r="H694">
        <v>0</v>
      </c>
      <c r="I694">
        <v>0</v>
      </c>
    </row>
    <row r="695" spans="1:9">
      <c r="A695" t="s">
        <v>713</v>
      </c>
      <c r="B695" t="s">
        <v>8</v>
      </c>
      <c r="C695" t="str">
        <f t="shared" si="20"/>
        <v>A</v>
      </c>
      <c r="D695" t="s">
        <v>13</v>
      </c>
      <c r="E695" t="s">
        <v>33</v>
      </c>
      <c r="F695" t="str">
        <f t="shared" si="21"/>
        <v>Desktop</v>
      </c>
      <c r="G695">
        <v>9</v>
      </c>
      <c r="H695">
        <v>0</v>
      </c>
      <c r="I695">
        <v>0</v>
      </c>
    </row>
    <row r="696" spans="1:9">
      <c r="A696" t="s">
        <v>714</v>
      </c>
      <c r="B696" t="s">
        <v>29</v>
      </c>
      <c r="C696" t="str">
        <f t="shared" si="20"/>
        <v>B</v>
      </c>
      <c r="D696" t="s">
        <v>9</v>
      </c>
      <c r="E696" t="s">
        <v>10</v>
      </c>
      <c r="F696" t="str">
        <f t="shared" si="21"/>
        <v>Mobile</v>
      </c>
      <c r="G696">
        <v>6</v>
      </c>
      <c r="H696">
        <v>1</v>
      </c>
      <c r="I696">
        <v>6225.32</v>
      </c>
    </row>
    <row r="697" spans="1:9">
      <c r="A697" t="s">
        <v>715</v>
      </c>
      <c r="B697" t="s">
        <v>8</v>
      </c>
      <c r="C697" t="str">
        <f t="shared" si="20"/>
        <v>A</v>
      </c>
      <c r="D697" t="s">
        <v>9</v>
      </c>
      <c r="E697" t="s">
        <v>16</v>
      </c>
      <c r="F697" t="str">
        <f t="shared" si="21"/>
        <v>Mobile</v>
      </c>
      <c r="G697">
        <v>5</v>
      </c>
      <c r="H697">
        <v>0</v>
      </c>
      <c r="I697">
        <v>0</v>
      </c>
    </row>
    <row r="698" spans="1:9">
      <c r="A698" t="s">
        <v>716</v>
      </c>
      <c r="B698" t="s">
        <v>15</v>
      </c>
      <c r="C698" t="str">
        <f t="shared" si="20"/>
        <v>B</v>
      </c>
      <c r="D698" t="s">
        <v>13</v>
      </c>
      <c r="E698" t="s">
        <v>10</v>
      </c>
      <c r="F698" t="str">
        <f t="shared" si="21"/>
        <v>Mobile</v>
      </c>
      <c r="G698">
        <v>5</v>
      </c>
      <c r="H698">
        <v>0</v>
      </c>
      <c r="I698">
        <v>0</v>
      </c>
    </row>
    <row r="699" spans="1:9">
      <c r="A699" t="s">
        <v>717</v>
      </c>
      <c r="B699" t="s">
        <v>8</v>
      </c>
      <c r="C699" t="str">
        <f t="shared" si="20"/>
        <v>A</v>
      </c>
      <c r="D699" t="s">
        <v>13</v>
      </c>
      <c r="E699" t="s">
        <v>23</v>
      </c>
      <c r="F699" t="str">
        <f t="shared" si="21"/>
        <v>Desktop</v>
      </c>
      <c r="G699">
        <v>6</v>
      </c>
      <c r="H699">
        <v>0</v>
      </c>
      <c r="I699">
        <v>0</v>
      </c>
    </row>
    <row r="700" spans="1:9">
      <c r="A700" t="s">
        <v>718</v>
      </c>
      <c r="B700" t="s">
        <v>15</v>
      </c>
      <c r="C700" t="str">
        <f t="shared" si="20"/>
        <v>B</v>
      </c>
      <c r="D700" t="s">
        <v>13</v>
      </c>
      <c r="E700" t="s">
        <v>33</v>
      </c>
      <c r="F700" t="str">
        <f t="shared" si="21"/>
        <v>Desktop</v>
      </c>
      <c r="G700">
        <v>5</v>
      </c>
      <c r="H700">
        <v>0</v>
      </c>
      <c r="I700">
        <v>0</v>
      </c>
    </row>
    <row r="701" spans="1:9">
      <c r="A701" t="s">
        <v>719</v>
      </c>
      <c r="B701" t="s">
        <v>15</v>
      </c>
      <c r="C701" t="str">
        <f t="shared" si="20"/>
        <v>B</v>
      </c>
      <c r="D701" t="s">
        <v>20</v>
      </c>
      <c r="E701" t="s">
        <v>10</v>
      </c>
      <c r="F701" t="str">
        <f t="shared" si="21"/>
        <v>Mobile</v>
      </c>
      <c r="G701">
        <v>6</v>
      </c>
      <c r="H701">
        <v>0</v>
      </c>
      <c r="I701">
        <v>0</v>
      </c>
    </row>
    <row r="702" spans="1:9">
      <c r="A702" t="s">
        <v>720</v>
      </c>
      <c r="B702" t="s">
        <v>15</v>
      </c>
      <c r="C702" t="str">
        <f t="shared" si="20"/>
        <v>B</v>
      </c>
      <c r="D702" t="s">
        <v>13</v>
      </c>
      <c r="E702" t="s">
        <v>33</v>
      </c>
      <c r="F702" t="str">
        <f t="shared" si="21"/>
        <v>Desktop</v>
      </c>
      <c r="G702">
        <v>6</v>
      </c>
      <c r="H702">
        <v>1</v>
      </c>
      <c r="I702">
        <v>2262.1</v>
      </c>
    </row>
    <row r="703" spans="1:9">
      <c r="A703" t="s">
        <v>721</v>
      </c>
      <c r="B703" t="s">
        <v>15</v>
      </c>
      <c r="C703" t="str">
        <f t="shared" si="20"/>
        <v>B</v>
      </c>
      <c r="D703" t="s">
        <v>20</v>
      </c>
      <c r="E703" t="s">
        <v>10</v>
      </c>
      <c r="F703" t="str">
        <f t="shared" si="21"/>
        <v>Mobile</v>
      </c>
      <c r="G703">
        <v>5</v>
      </c>
      <c r="H703">
        <v>0</v>
      </c>
      <c r="I703">
        <v>0</v>
      </c>
    </row>
    <row r="704" spans="1:9">
      <c r="A704" t="s">
        <v>722</v>
      </c>
      <c r="B704" t="s">
        <v>8</v>
      </c>
      <c r="C704" t="str">
        <f t="shared" si="20"/>
        <v>A</v>
      </c>
      <c r="D704" t="s">
        <v>13</v>
      </c>
      <c r="E704" t="s">
        <v>33</v>
      </c>
      <c r="F704" t="str">
        <f t="shared" si="21"/>
        <v>Desktop</v>
      </c>
      <c r="G704">
        <v>4</v>
      </c>
      <c r="H704">
        <v>0</v>
      </c>
      <c r="I704">
        <v>0</v>
      </c>
    </row>
    <row r="705" spans="1:9">
      <c r="A705" t="s">
        <v>723</v>
      </c>
      <c r="B705" t="s">
        <v>8</v>
      </c>
      <c r="C705" t="str">
        <f t="shared" si="20"/>
        <v>A</v>
      </c>
      <c r="D705" t="s">
        <v>20</v>
      </c>
      <c r="E705" t="s">
        <v>23</v>
      </c>
      <c r="F705" t="str">
        <f t="shared" si="21"/>
        <v>Desktop</v>
      </c>
      <c r="G705">
        <v>4</v>
      </c>
      <c r="H705">
        <v>0</v>
      </c>
      <c r="I705">
        <v>0</v>
      </c>
    </row>
    <row r="706" spans="1:9">
      <c r="A706" t="s">
        <v>724</v>
      </c>
      <c r="B706" t="s">
        <v>12</v>
      </c>
      <c r="C706" t="str">
        <f t="shared" ref="C706:C769" si="22">IF(OR(B706="control", B706="A"), "A", "B")</f>
        <v>A</v>
      </c>
      <c r="D706" t="s">
        <v>20</v>
      </c>
      <c r="E706" t="s">
        <v>10</v>
      </c>
      <c r="F706" t="str">
        <f t="shared" ref="F706:F769" si="23">PROPER(E706)</f>
        <v>Mobile</v>
      </c>
      <c r="G706">
        <v>5</v>
      </c>
      <c r="H706">
        <v>0</v>
      </c>
      <c r="I706">
        <v>0</v>
      </c>
    </row>
    <row r="707" spans="1:9">
      <c r="A707" t="s">
        <v>725</v>
      </c>
      <c r="B707" t="s">
        <v>15</v>
      </c>
      <c r="C707" t="str">
        <f t="shared" si="22"/>
        <v>B</v>
      </c>
      <c r="D707" t="s">
        <v>20</v>
      </c>
      <c r="E707" t="s">
        <v>10</v>
      </c>
      <c r="F707" t="str">
        <f t="shared" si="23"/>
        <v>Mobile</v>
      </c>
      <c r="G707">
        <v>7</v>
      </c>
      <c r="H707">
        <v>0</v>
      </c>
      <c r="I707">
        <v>0</v>
      </c>
    </row>
    <row r="708" spans="1:9">
      <c r="A708" t="s">
        <v>726</v>
      </c>
      <c r="B708" t="s">
        <v>29</v>
      </c>
      <c r="C708" t="str">
        <f t="shared" si="22"/>
        <v>B</v>
      </c>
      <c r="D708" t="s">
        <v>20</v>
      </c>
      <c r="E708" t="s">
        <v>10</v>
      </c>
      <c r="F708" t="str">
        <f t="shared" si="23"/>
        <v>Mobile</v>
      </c>
      <c r="G708">
        <v>9</v>
      </c>
      <c r="H708">
        <v>0</v>
      </c>
      <c r="I708">
        <v>0</v>
      </c>
    </row>
    <row r="709" spans="1:9">
      <c r="A709" t="s">
        <v>727</v>
      </c>
      <c r="B709" t="s">
        <v>8</v>
      </c>
      <c r="C709" t="str">
        <f t="shared" si="22"/>
        <v>A</v>
      </c>
      <c r="D709" t="s">
        <v>13</v>
      </c>
      <c r="E709" t="s">
        <v>10</v>
      </c>
      <c r="F709" t="str">
        <f t="shared" si="23"/>
        <v>Mobile</v>
      </c>
      <c r="G709">
        <v>7</v>
      </c>
      <c r="H709">
        <v>0</v>
      </c>
      <c r="I709">
        <v>0</v>
      </c>
    </row>
    <row r="710" spans="1:9">
      <c r="A710" t="s">
        <v>728</v>
      </c>
      <c r="B710" t="s">
        <v>15</v>
      </c>
      <c r="C710" t="str">
        <f t="shared" si="22"/>
        <v>B</v>
      </c>
      <c r="D710" t="s">
        <v>13</v>
      </c>
      <c r="E710" t="s">
        <v>10</v>
      </c>
      <c r="F710" t="str">
        <f t="shared" si="23"/>
        <v>Mobile</v>
      </c>
      <c r="G710">
        <v>4</v>
      </c>
      <c r="H710">
        <v>0</v>
      </c>
      <c r="I710">
        <v>0</v>
      </c>
    </row>
    <row r="711" spans="1:9">
      <c r="A711" t="s">
        <v>729</v>
      </c>
      <c r="B711" t="s">
        <v>12</v>
      </c>
      <c r="C711" t="str">
        <f t="shared" si="22"/>
        <v>A</v>
      </c>
      <c r="D711" t="s">
        <v>13</v>
      </c>
      <c r="E711" t="s">
        <v>10</v>
      </c>
      <c r="F711" t="str">
        <f t="shared" si="23"/>
        <v>Mobile</v>
      </c>
      <c r="G711">
        <v>1</v>
      </c>
      <c r="H711">
        <v>0</v>
      </c>
      <c r="I711">
        <v>0</v>
      </c>
    </row>
    <row r="712" spans="1:9">
      <c r="A712" t="s">
        <v>730</v>
      </c>
      <c r="B712" t="s">
        <v>8</v>
      </c>
      <c r="C712" t="str">
        <f t="shared" si="22"/>
        <v>A</v>
      </c>
      <c r="D712" t="s">
        <v>20</v>
      </c>
      <c r="E712" t="s">
        <v>10</v>
      </c>
      <c r="F712" t="str">
        <f t="shared" si="23"/>
        <v>Mobile</v>
      </c>
      <c r="G712">
        <v>4</v>
      </c>
      <c r="H712">
        <v>0</v>
      </c>
      <c r="I712">
        <v>0</v>
      </c>
    </row>
    <row r="713" spans="1:9">
      <c r="A713" t="s">
        <v>731</v>
      </c>
      <c r="B713" t="s">
        <v>8</v>
      </c>
      <c r="C713" t="str">
        <f t="shared" si="22"/>
        <v>A</v>
      </c>
      <c r="D713" t="s">
        <v>20</v>
      </c>
      <c r="E713" t="s">
        <v>23</v>
      </c>
      <c r="F713" t="str">
        <f t="shared" si="23"/>
        <v>Desktop</v>
      </c>
      <c r="G713">
        <v>6</v>
      </c>
      <c r="H713">
        <v>0</v>
      </c>
      <c r="I713">
        <v>0</v>
      </c>
    </row>
    <row r="714" spans="1:9">
      <c r="A714" t="s">
        <v>732</v>
      </c>
      <c r="B714" t="s">
        <v>15</v>
      </c>
      <c r="C714" t="str">
        <f t="shared" si="22"/>
        <v>B</v>
      </c>
      <c r="D714" t="s">
        <v>20</v>
      </c>
      <c r="E714" t="s">
        <v>10</v>
      </c>
      <c r="F714" t="str">
        <f t="shared" si="23"/>
        <v>Mobile</v>
      </c>
      <c r="G714">
        <v>4</v>
      </c>
      <c r="H714">
        <v>1</v>
      </c>
      <c r="I714">
        <v>1682.91</v>
      </c>
    </row>
    <row r="715" spans="1:9">
      <c r="A715" t="s">
        <v>733</v>
      </c>
      <c r="B715" t="s">
        <v>15</v>
      </c>
      <c r="C715" t="str">
        <f t="shared" si="22"/>
        <v>B</v>
      </c>
      <c r="D715" t="s">
        <v>20</v>
      </c>
      <c r="E715" t="s">
        <v>10</v>
      </c>
      <c r="F715" t="str">
        <f t="shared" si="23"/>
        <v>Mobile</v>
      </c>
      <c r="G715">
        <v>6</v>
      </c>
      <c r="H715">
        <v>0</v>
      </c>
      <c r="I715">
        <v>0</v>
      </c>
    </row>
    <row r="716" spans="1:9">
      <c r="A716" t="s">
        <v>734</v>
      </c>
      <c r="B716" t="s">
        <v>15</v>
      </c>
      <c r="C716" t="str">
        <f t="shared" si="22"/>
        <v>B</v>
      </c>
      <c r="D716" t="s">
        <v>9</v>
      </c>
      <c r="E716" t="s">
        <v>23</v>
      </c>
      <c r="F716" t="str">
        <f t="shared" si="23"/>
        <v>Desktop</v>
      </c>
      <c r="G716">
        <v>10</v>
      </c>
      <c r="H716">
        <v>0</v>
      </c>
      <c r="I716">
        <v>0</v>
      </c>
    </row>
    <row r="717" spans="1:9">
      <c r="A717" t="s">
        <v>735</v>
      </c>
      <c r="B717" t="s">
        <v>8</v>
      </c>
      <c r="C717" t="str">
        <f t="shared" si="22"/>
        <v>A</v>
      </c>
      <c r="D717" t="s">
        <v>20</v>
      </c>
      <c r="E717" t="s">
        <v>10</v>
      </c>
      <c r="F717" t="str">
        <f t="shared" si="23"/>
        <v>Mobile</v>
      </c>
      <c r="G717">
        <v>6</v>
      </c>
      <c r="H717">
        <v>0</v>
      </c>
      <c r="I717">
        <v>0</v>
      </c>
    </row>
    <row r="718" spans="1:9">
      <c r="A718" t="s">
        <v>736</v>
      </c>
      <c r="B718" t="s">
        <v>15</v>
      </c>
      <c r="C718" t="str">
        <f t="shared" si="22"/>
        <v>B</v>
      </c>
      <c r="D718" t="s">
        <v>20</v>
      </c>
      <c r="E718" t="s">
        <v>10</v>
      </c>
      <c r="F718" t="str">
        <f t="shared" si="23"/>
        <v>Mobile</v>
      </c>
      <c r="G718">
        <v>5</v>
      </c>
      <c r="H718">
        <v>0</v>
      </c>
      <c r="I718">
        <v>0</v>
      </c>
    </row>
    <row r="719" spans="1:9">
      <c r="A719" t="s">
        <v>737</v>
      </c>
      <c r="B719" t="s">
        <v>8</v>
      </c>
      <c r="C719" t="str">
        <f t="shared" si="22"/>
        <v>A</v>
      </c>
      <c r="D719" t="s">
        <v>20</v>
      </c>
      <c r="E719" t="s">
        <v>10</v>
      </c>
      <c r="F719" t="str">
        <f t="shared" si="23"/>
        <v>Mobile</v>
      </c>
      <c r="G719">
        <v>3</v>
      </c>
      <c r="H719">
        <v>0</v>
      </c>
      <c r="I719">
        <v>0</v>
      </c>
    </row>
    <row r="720" spans="1:9">
      <c r="A720" t="s">
        <v>738</v>
      </c>
      <c r="B720" t="s">
        <v>8</v>
      </c>
      <c r="C720" t="str">
        <f t="shared" si="22"/>
        <v>A</v>
      </c>
      <c r="D720" t="s">
        <v>20</v>
      </c>
      <c r="E720" t="s">
        <v>33</v>
      </c>
      <c r="F720" t="str">
        <f t="shared" si="23"/>
        <v>Desktop</v>
      </c>
      <c r="G720">
        <v>11</v>
      </c>
      <c r="H720">
        <v>0</v>
      </c>
      <c r="I720">
        <v>0</v>
      </c>
    </row>
    <row r="721" spans="1:9">
      <c r="A721" t="s">
        <v>739</v>
      </c>
      <c r="B721" t="s">
        <v>8</v>
      </c>
      <c r="C721" t="str">
        <f t="shared" si="22"/>
        <v>A</v>
      </c>
      <c r="D721" t="s">
        <v>13</v>
      </c>
      <c r="E721" t="s">
        <v>16</v>
      </c>
      <c r="F721" t="str">
        <f t="shared" si="23"/>
        <v>Mobile</v>
      </c>
      <c r="G721">
        <v>3</v>
      </c>
      <c r="H721">
        <v>0</v>
      </c>
      <c r="I721">
        <v>0</v>
      </c>
    </row>
    <row r="722" spans="1:9">
      <c r="A722" t="s">
        <v>740</v>
      </c>
      <c r="B722" t="s">
        <v>15</v>
      </c>
      <c r="C722" t="str">
        <f t="shared" si="22"/>
        <v>B</v>
      </c>
      <c r="D722" t="s">
        <v>13</v>
      </c>
      <c r="E722" t="s">
        <v>10</v>
      </c>
      <c r="F722" t="str">
        <f t="shared" si="23"/>
        <v>Mobile</v>
      </c>
      <c r="G722">
        <v>7</v>
      </c>
      <c r="H722">
        <v>0</v>
      </c>
      <c r="I722">
        <v>0</v>
      </c>
    </row>
    <row r="723" spans="1:9">
      <c r="A723" t="s">
        <v>741</v>
      </c>
      <c r="B723" t="s">
        <v>15</v>
      </c>
      <c r="C723" t="str">
        <f t="shared" si="22"/>
        <v>B</v>
      </c>
      <c r="D723" t="s">
        <v>20</v>
      </c>
      <c r="E723" t="s">
        <v>23</v>
      </c>
      <c r="F723" t="str">
        <f t="shared" si="23"/>
        <v>Desktop</v>
      </c>
      <c r="G723">
        <v>7</v>
      </c>
      <c r="H723">
        <v>0</v>
      </c>
      <c r="I723">
        <v>0</v>
      </c>
    </row>
    <row r="724" spans="1:9">
      <c r="A724" t="s">
        <v>742</v>
      </c>
      <c r="B724" t="s">
        <v>15</v>
      </c>
      <c r="C724" t="str">
        <f t="shared" si="22"/>
        <v>B</v>
      </c>
      <c r="D724" t="s">
        <v>20</v>
      </c>
      <c r="E724" t="s">
        <v>23</v>
      </c>
      <c r="F724" t="str">
        <f t="shared" si="23"/>
        <v>Desktop</v>
      </c>
      <c r="G724">
        <v>5</v>
      </c>
      <c r="H724">
        <v>0</v>
      </c>
      <c r="I724">
        <v>0</v>
      </c>
    </row>
    <row r="725" spans="1:9">
      <c r="A725" t="s">
        <v>743</v>
      </c>
      <c r="B725" t="s">
        <v>8</v>
      </c>
      <c r="C725" t="str">
        <f t="shared" si="22"/>
        <v>A</v>
      </c>
      <c r="D725" t="s">
        <v>20</v>
      </c>
      <c r="E725" t="s">
        <v>23</v>
      </c>
      <c r="F725" t="str">
        <f t="shared" si="23"/>
        <v>Desktop</v>
      </c>
      <c r="G725">
        <v>7</v>
      </c>
      <c r="H725">
        <v>0</v>
      </c>
      <c r="I725">
        <v>0</v>
      </c>
    </row>
    <row r="726" spans="1:9">
      <c r="A726" t="s">
        <v>744</v>
      </c>
      <c r="B726" t="s">
        <v>15</v>
      </c>
      <c r="C726" t="str">
        <f t="shared" si="22"/>
        <v>B</v>
      </c>
      <c r="D726" t="s">
        <v>20</v>
      </c>
      <c r="E726" t="s">
        <v>23</v>
      </c>
      <c r="F726" t="str">
        <f t="shared" si="23"/>
        <v>Desktop</v>
      </c>
      <c r="G726">
        <v>5</v>
      </c>
      <c r="H726">
        <v>0</v>
      </c>
      <c r="I726">
        <v>0</v>
      </c>
    </row>
    <row r="727" spans="1:9">
      <c r="A727" t="s">
        <v>745</v>
      </c>
      <c r="B727" t="s">
        <v>8</v>
      </c>
      <c r="C727" t="str">
        <f t="shared" si="22"/>
        <v>A</v>
      </c>
      <c r="D727" t="s">
        <v>20</v>
      </c>
      <c r="E727" t="s">
        <v>23</v>
      </c>
      <c r="F727" t="str">
        <f t="shared" si="23"/>
        <v>Desktop</v>
      </c>
      <c r="G727">
        <v>6</v>
      </c>
      <c r="H727">
        <v>0</v>
      </c>
      <c r="I727">
        <v>0</v>
      </c>
    </row>
    <row r="728" spans="1:9">
      <c r="A728" t="s">
        <v>746</v>
      </c>
      <c r="B728" t="s">
        <v>15</v>
      </c>
      <c r="C728" t="str">
        <f t="shared" si="22"/>
        <v>B</v>
      </c>
      <c r="D728" t="s">
        <v>18</v>
      </c>
      <c r="E728" t="s">
        <v>10</v>
      </c>
      <c r="F728" t="str">
        <f t="shared" si="23"/>
        <v>Mobile</v>
      </c>
      <c r="G728">
        <v>8</v>
      </c>
      <c r="H728">
        <v>0</v>
      </c>
      <c r="I728">
        <v>0</v>
      </c>
    </row>
    <row r="729" spans="1:9">
      <c r="A729" t="s">
        <v>747</v>
      </c>
      <c r="B729" t="s">
        <v>8</v>
      </c>
      <c r="C729" t="str">
        <f t="shared" si="22"/>
        <v>A</v>
      </c>
      <c r="D729" t="s">
        <v>13</v>
      </c>
      <c r="E729" t="s">
        <v>10</v>
      </c>
      <c r="F729" t="str">
        <f t="shared" si="23"/>
        <v>Mobile</v>
      </c>
      <c r="G729">
        <v>6</v>
      </c>
      <c r="H729">
        <v>0</v>
      </c>
      <c r="I729">
        <v>0</v>
      </c>
    </row>
    <row r="730" spans="1:9">
      <c r="A730" t="s">
        <v>748</v>
      </c>
      <c r="B730" t="s">
        <v>8</v>
      </c>
      <c r="C730" t="str">
        <f t="shared" si="22"/>
        <v>A</v>
      </c>
      <c r="D730" t="s">
        <v>13</v>
      </c>
      <c r="E730" t="s">
        <v>10</v>
      </c>
      <c r="F730" t="str">
        <f t="shared" si="23"/>
        <v>Mobile</v>
      </c>
      <c r="G730">
        <v>2</v>
      </c>
      <c r="H730">
        <v>0</v>
      </c>
      <c r="I730">
        <v>0</v>
      </c>
    </row>
    <row r="731" spans="1:9">
      <c r="A731" t="s">
        <v>749</v>
      </c>
      <c r="B731" t="s">
        <v>15</v>
      </c>
      <c r="C731" t="str">
        <f t="shared" si="22"/>
        <v>B</v>
      </c>
      <c r="D731" t="s">
        <v>20</v>
      </c>
      <c r="E731" t="s">
        <v>16</v>
      </c>
      <c r="F731" t="str">
        <f t="shared" si="23"/>
        <v>Mobile</v>
      </c>
      <c r="G731">
        <v>10</v>
      </c>
      <c r="H731">
        <v>0</v>
      </c>
      <c r="I731">
        <v>0</v>
      </c>
    </row>
    <row r="732" spans="1:9">
      <c r="A732" t="s">
        <v>750</v>
      </c>
      <c r="B732" t="s">
        <v>8</v>
      </c>
      <c r="C732" t="str">
        <f t="shared" si="22"/>
        <v>A</v>
      </c>
      <c r="D732" t="s">
        <v>13</v>
      </c>
      <c r="E732" t="s">
        <v>23</v>
      </c>
      <c r="F732" t="str">
        <f t="shared" si="23"/>
        <v>Desktop</v>
      </c>
      <c r="G732">
        <v>2</v>
      </c>
      <c r="H732">
        <v>0</v>
      </c>
      <c r="I732">
        <v>0</v>
      </c>
    </row>
    <row r="733" spans="1:9">
      <c r="A733" t="s">
        <v>751</v>
      </c>
      <c r="B733" t="s">
        <v>15</v>
      </c>
      <c r="C733" t="str">
        <f t="shared" si="22"/>
        <v>B</v>
      </c>
      <c r="D733" t="s">
        <v>13</v>
      </c>
      <c r="E733" t="s">
        <v>16</v>
      </c>
      <c r="F733" t="str">
        <f t="shared" si="23"/>
        <v>Mobile</v>
      </c>
      <c r="G733">
        <v>4</v>
      </c>
      <c r="H733">
        <v>0</v>
      </c>
      <c r="I733">
        <v>0</v>
      </c>
    </row>
    <row r="734" spans="1:9">
      <c r="A734" t="s">
        <v>752</v>
      </c>
      <c r="B734" t="s">
        <v>15</v>
      </c>
      <c r="C734" t="str">
        <f t="shared" si="22"/>
        <v>B</v>
      </c>
      <c r="D734" t="s">
        <v>13</v>
      </c>
      <c r="E734" t="s">
        <v>83</v>
      </c>
      <c r="F734" t="str">
        <f t="shared" si="23"/>
        <v>Tablet</v>
      </c>
      <c r="G734">
        <v>9</v>
      </c>
      <c r="H734">
        <v>0</v>
      </c>
      <c r="I734">
        <v>0</v>
      </c>
    </row>
    <row r="735" spans="1:9">
      <c r="A735" t="s">
        <v>753</v>
      </c>
      <c r="B735" t="s">
        <v>8</v>
      </c>
      <c r="C735" t="str">
        <f t="shared" si="22"/>
        <v>A</v>
      </c>
      <c r="D735" t="s">
        <v>13</v>
      </c>
      <c r="E735" t="s">
        <v>10</v>
      </c>
      <c r="F735" t="str">
        <f t="shared" si="23"/>
        <v>Mobile</v>
      </c>
      <c r="G735">
        <v>9</v>
      </c>
      <c r="H735">
        <v>0</v>
      </c>
      <c r="I735">
        <v>0</v>
      </c>
    </row>
    <row r="736" spans="1:9">
      <c r="A736" t="s">
        <v>754</v>
      </c>
      <c r="B736" t="s">
        <v>15</v>
      </c>
      <c r="C736" t="str">
        <f t="shared" si="22"/>
        <v>B</v>
      </c>
      <c r="D736" t="s">
        <v>20</v>
      </c>
      <c r="E736" t="s">
        <v>23</v>
      </c>
      <c r="F736" t="str">
        <f t="shared" si="23"/>
        <v>Desktop</v>
      </c>
      <c r="G736">
        <v>7</v>
      </c>
      <c r="H736">
        <v>0</v>
      </c>
      <c r="I736">
        <v>0</v>
      </c>
    </row>
    <row r="737" spans="1:9">
      <c r="A737" t="s">
        <v>755</v>
      </c>
      <c r="B737" t="s">
        <v>8</v>
      </c>
      <c r="C737" t="str">
        <f t="shared" si="22"/>
        <v>A</v>
      </c>
      <c r="D737" t="s">
        <v>13</v>
      </c>
      <c r="E737" t="s">
        <v>23</v>
      </c>
      <c r="F737" t="str">
        <f t="shared" si="23"/>
        <v>Desktop</v>
      </c>
      <c r="G737">
        <v>6</v>
      </c>
      <c r="H737">
        <v>0</v>
      </c>
      <c r="I737">
        <v>0</v>
      </c>
    </row>
    <row r="738" spans="1:9">
      <c r="A738" t="s">
        <v>756</v>
      </c>
      <c r="B738" t="s">
        <v>15</v>
      </c>
      <c r="C738" t="str">
        <f t="shared" si="22"/>
        <v>B</v>
      </c>
      <c r="D738" t="s">
        <v>20</v>
      </c>
      <c r="E738" t="s">
        <v>83</v>
      </c>
      <c r="F738" t="str">
        <f t="shared" si="23"/>
        <v>Tablet</v>
      </c>
      <c r="G738">
        <v>4</v>
      </c>
      <c r="H738">
        <v>0</v>
      </c>
      <c r="I738">
        <v>0</v>
      </c>
    </row>
    <row r="739" spans="1:9">
      <c r="A739" t="s">
        <v>757</v>
      </c>
      <c r="B739" t="s">
        <v>15</v>
      </c>
      <c r="C739" t="str">
        <f t="shared" si="22"/>
        <v>B</v>
      </c>
      <c r="D739" t="s">
        <v>9</v>
      </c>
      <c r="E739" t="s">
        <v>83</v>
      </c>
      <c r="F739" t="str">
        <f t="shared" si="23"/>
        <v>Tablet</v>
      </c>
      <c r="G739">
        <v>4</v>
      </c>
      <c r="H739">
        <v>0</v>
      </c>
      <c r="I739">
        <v>0</v>
      </c>
    </row>
    <row r="740" spans="1:9">
      <c r="A740" t="s">
        <v>758</v>
      </c>
      <c r="B740" t="s">
        <v>15</v>
      </c>
      <c r="C740" t="str">
        <f t="shared" si="22"/>
        <v>B</v>
      </c>
      <c r="D740" t="s">
        <v>13</v>
      </c>
      <c r="E740" t="s">
        <v>23</v>
      </c>
      <c r="F740" t="str">
        <f t="shared" si="23"/>
        <v>Desktop</v>
      </c>
      <c r="G740">
        <v>11</v>
      </c>
      <c r="H740">
        <v>0</v>
      </c>
      <c r="I740">
        <v>0</v>
      </c>
    </row>
    <row r="741" spans="1:9">
      <c r="A741" t="s">
        <v>759</v>
      </c>
      <c r="B741" t="s">
        <v>8</v>
      </c>
      <c r="C741" t="str">
        <f t="shared" si="22"/>
        <v>A</v>
      </c>
      <c r="D741" t="s">
        <v>13</v>
      </c>
      <c r="E741" t="s">
        <v>10</v>
      </c>
      <c r="F741" t="str">
        <f t="shared" si="23"/>
        <v>Mobile</v>
      </c>
      <c r="G741">
        <v>8</v>
      </c>
      <c r="H741">
        <v>1</v>
      </c>
      <c r="I741">
        <v>2526.48</v>
      </c>
    </row>
    <row r="742" spans="1:9">
      <c r="A742" t="s">
        <v>760</v>
      </c>
      <c r="B742" t="s">
        <v>12</v>
      </c>
      <c r="C742" t="str">
        <f t="shared" si="22"/>
        <v>A</v>
      </c>
      <c r="D742" t="s">
        <v>20</v>
      </c>
      <c r="E742" t="s">
        <v>23</v>
      </c>
      <c r="F742" t="str">
        <f t="shared" si="23"/>
        <v>Desktop</v>
      </c>
      <c r="G742">
        <v>5</v>
      </c>
      <c r="H742">
        <v>0</v>
      </c>
      <c r="I742">
        <v>0</v>
      </c>
    </row>
    <row r="743" spans="1:9">
      <c r="A743" t="s">
        <v>761</v>
      </c>
      <c r="B743" t="s">
        <v>15</v>
      </c>
      <c r="C743" t="str">
        <f t="shared" si="22"/>
        <v>B</v>
      </c>
      <c r="D743" t="s">
        <v>13</v>
      </c>
      <c r="E743" t="s">
        <v>10</v>
      </c>
      <c r="F743" t="str">
        <f t="shared" si="23"/>
        <v>Mobile</v>
      </c>
      <c r="G743">
        <v>2</v>
      </c>
      <c r="H743">
        <v>0</v>
      </c>
      <c r="I743">
        <v>0</v>
      </c>
    </row>
    <row r="744" spans="1:9">
      <c r="A744" t="s">
        <v>762</v>
      </c>
      <c r="B744" t="s">
        <v>8</v>
      </c>
      <c r="C744" t="str">
        <f t="shared" si="22"/>
        <v>A</v>
      </c>
      <c r="D744" t="s">
        <v>20</v>
      </c>
      <c r="E744" t="s">
        <v>23</v>
      </c>
      <c r="F744" t="str">
        <f t="shared" si="23"/>
        <v>Desktop</v>
      </c>
      <c r="G744">
        <v>4</v>
      </c>
      <c r="H744">
        <v>0</v>
      </c>
      <c r="I744">
        <v>0</v>
      </c>
    </row>
    <row r="745" spans="1:9">
      <c r="A745" t="s">
        <v>763</v>
      </c>
      <c r="B745" t="s">
        <v>8</v>
      </c>
      <c r="C745" t="str">
        <f t="shared" si="22"/>
        <v>A</v>
      </c>
      <c r="D745" t="s">
        <v>20</v>
      </c>
      <c r="E745" t="s">
        <v>33</v>
      </c>
      <c r="F745" t="str">
        <f t="shared" si="23"/>
        <v>Desktop</v>
      </c>
      <c r="G745">
        <v>5</v>
      </c>
      <c r="H745">
        <v>0</v>
      </c>
      <c r="I745">
        <v>0</v>
      </c>
    </row>
    <row r="746" spans="1:9">
      <c r="A746" t="s">
        <v>764</v>
      </c>
      <c r="B746" t="s">
        <v>15</v>
      </c>
      <c r="C746" t="str">
        <f t="shared" si="22"/>
        <v>B</v>
      </c>
      <c r="D746" t="s">
        <v>20</v>
      </c>
      <c r="E746" t="s">
        <v>10</v>
      </c>
      <c r="F746" t="str">
        <f t="shared" si="23"/>
        <v>Mobile</v>
      </c>
      <c r="G746">
        <v>9</v>
      </c>
      <c r="H746">
        <v>1</v>
      </c>
      <c r="I746">
        <v>1505.83</v>
      </c>
    </row>
    <row r="747" spans="1:9">
      <c r="A747" t="s">
        <v>765</v>
      </c>
      <c r="B747" t="s">
        <v>15</v>
      </c>
      <c r="C747" t="str">
        <f t="shared" si="22"/>
        <v>B</v>
      </c>
      <c r="D747" t="s">
        <v>13</v>
      </c>
      <c r="E747" t="s">
        <v>23</v>
      </c>
      <c r="F747" t="str">
        <f t="shared" si="23"/>
        <v>Desktop</v>
      </c>
      <c r="G747">
        <v>9</v>
      </c>
      <c r="H747">
        <v>1</v>
      </c>
      <c r="I747">
        <v>2593.09</v>
      </c>
    </row>
    <row r="748" spans="1:9">
      <c r="A748" t="s">
        <v>766</v>
      </c>
      <c r="B748" t="s">
        <v>15</v>
      </c>
      <c r="C748" t="str">
        <f t="shared" si="22"/>
        <v>B</v>
      </c>
      <c r="D748" t="s">
        <v>20</v>
      </c>
      <c r="E748" t="s">
        <v>10</v>
      </c>
      <c r="F748" t="str">
        <f t="shared" si="23"/>
        <v>Mobile</v>
      </c>
      <c r="G748">
        <v>5</v>
      </c>
      <c r="H748">
        <v>0</v>
      </c>
      <c r="I748">
        <v>0</v>
      </c>
    </row>
    <row r="749" spans="1:9">
      <c r="A749" t="s">
        <v>767</v>
      </c>
      <c r="B749" t="s">
        <v>15</v>
      </c>
      <c r="C749" t="str">
        <f t="shared" si="22"/>
        <v>B</v>
      </c>
      <c r="D749" t="s">
        <v>20</v>
      </c>
      <c r="E749" t="s">
        <v>10</v>
      </c>
      <c r="F749" t="str">
        <f t="shared" si="23"/>
        <v>Mobile</v>
      </c>
      <c r="G749">
        <v>8</v>
      </c>
      <c r="H749">
        <v>0</v>
      </c>
      <c r="I749">
        <v>0</v>
      </c>
    </row>
    <row r="750" spans="1:9">
      <c r="A750" t="s">
        <v>768</v>
      </c>
      <c r="B750" t="s">
        <v>15</v>
      </c>
      <c r="C750" t="str">
        <f t="shared" si="22"/>
        <v>B</v>
      </c>
      <c r="D750" t="s">
        <v>9</v>
      </c>
      <c r="E750" t="s">
        <v>10</v>
      </c>
      <c r="F750" t="str">
        <f t="shared" si="23"/>
        <v>Mobile</v>
      </c>
      <c r="G750">
        <v>5</v>
      </c>
      <c r="H750">
        <v>1</v>
      </c>
      <c r="I750">
        <v>5402.41</v>
      </c>
    </row>
    <row r="751" spans="1:9">
      <c r="A751" t="s">
        <v>769</v>
      </c>
      <c r="B751" t="s">
        <v>8</v>
      </c>
      <c r="C751" t="str">
        <f t="shared" si="22"/>
        <v>A</v>
      </c>
      <c r="D751" t="s">
        <v>20</v>
      </c>
      <c r="E751" t="s">
        <v>23</v>
      </c>
      <c r="F751" t="str">
        <f t="shared" si="23"/>
        <v>Desktop</v>
      </c>
      <c r="G751">
        <v>8</v>
      </c>
      <c r="H751">
        <v>0</v>
      </c>
      <c r="I751">
        <v>0</v>
      </c>
    </row>
    <row r="752" spans="1:9">
      <c r="A752" t="s">
        <v>770</v>
      </c>
      <c r="B752" t="s">
        <v>8</v>
      </c>
      <c r="C752" t="str">
        <f t="shared" si="22"/>
        <v>A</v>
      </c>
      <c r="D752" t="s">
        <v>13</v>
      </c>
      <c r="E752" t="s">
        <v>33</v>
      </c>
      <c r="F752" t="str">
        <f t="shared" si="23"/>
        <v>Desktop</v>
      </c>
      <c r="G752">
        <v>1</v>
      </c>
      <c r="H752">
        <v>0</v>
      </c>
      <c r="I752">
        <v>0</v>
      </c>
    </row>
    <row r="753" spans="1:9">
      <c r="A753" t="s">
        <v>771</v>
      </c>
      <c r="B753" t="s">
        <v>8</v>
      </c>
      <c r="C753" t="str">
        <f t="shared" si="22"/>
        <v>A</v>
      </c>
      <c r="D753" t="s">
        <v>20</v>
      </c>
      <c r="E753" t="s">
        <v>33</v>
      </c>
      <c r="F753" t="str">
        <f t="shared" si="23"/>
        <v>Desktop</v>
      </c>
      <c r="G753">
        <v>5</v>
      </c>
      <c r="H753">
        <v>1</v>
      </c>
      <c r="I753">
        <v>1417.54</v>
      </c>
    </row>
    <row r="754" spans="1:9">
      <c r="A754" t="s">
        <v>772</v>
      </c>
      <c r="B754" t="s">
        <v>15</v>
      </c>
      <c r="C754" t="str">
        <f t="shared" si="22"/>
        <v>B</v>
      </c>
      <c r="D754" t="s">
        <v>20</v>
      </c>
      <c r="E754" t="s">
        <v>10</v>
      </c>
      <c r="F754" t="str">
        <f t="shared" si="23"/>
        <v>Mobile</v>
      </c>
      <c r="G754">
        <v>6</v>
      </c>
      <c r="H754">
        <v>0</v>
      </c>
      <c r="I754">
        <v>0</v>
      </c>
    </row>
    <row r="755" spans="1:9">
      <c r="A755" t="s">
        <v>773</v>
      </c>
      <c r="B755" t="s">
        <v>8</v>
      </c>
      <c r="C755" t="str">
        <f t="shared" si="22"/>
        <v>A</v>
      </c>
      <c r="D755" t="s">
        <v>9</v>
      </c>
      <c r="E755" t="s">
        <v>16</v>
      </c>
      <c r="F755" t="str">
        <f t="shared" si="23"/>
        <v>Mobile</v>
      </c>
      <c r="G755">
        <v>4</v>
      </c>
      <c r="H755">
        <v>0</v>
      </c>
      <c r="I755">
        <v>0</v>
      </c>
    </row>
    <row r="756" spans="1:9">
      <c r="A756" t="s">
        <v>774</v>
      </c>
      <c r="B756" t="s">
        <v>15</v>
      </c>
      <c r="C756" t="str">
        <f t="shared" si="22"/>
        <v>B</v>
      </c>
      <c r="D756" t="s">
        <v>20</v>
      </c>
      <c r="E756" t="s">
        <v>23</v>
      </c>
      <c r="F756" t="str">
        <f t="shared" si="23"/>
        <v>Desktop</v>
      </c>
      <c r="G756">
        <v>6</v>
      </c>
      <c r="H756">
        <v>0</v>
      </c>
      <c r="I756">
        <v>0</v>
      </c>
    </row>
    <row r="757" spans="1:9">
      <c r="A757" t="s">
        <v>775</v>
      </c>
      <c r="B757" t="s">
        <v>15</v>
      </c>
      <c r="C757" t="str">
        <f t="shared" si="22"/>
        <v>B</v>
      </c>
      <c r="D757" t="s">
        <v>13</v>
      </c>
      <c r="E757" t="s">
        <v>10</v>
      </c>
      <c r="F757" t="str">
        <f t="shared" si="23"/>
        <v>Mobile</v>
      </c>
      <c r="G757">
        <v>8</v>
      </c>
      <c r="H757">
        <v>0</v>
      </c>
      <c r="I757">
        <v>0</v>
      </c>
    </row>
    <row r="758" spans="1:9">
      <c r="A758" t="s">
        <v>776</v>
      </c>
      <c r="B758" t="s">
        <v>15</v>
      </c>
      <c r="C758" t="str">
        <f t="shared" si="22"/>
        <v>B</v>
      </c>
      <c r="D758" t="s">
        <v>13</v>
      </c>
      <c r="E758" t="s">
        <v>10</v>
      </c>
      <c r="F758" t="str">
        <f t="shared" si="23"/>
        <v>Mobile</v>
      </c>
      <c r="G758">
        <v>6</v>
      </c>
      <c r="H758">
        <v>1</v>
      </c>
      <c r="I758">
        <v>2295.17</v>
      </c>
    </row>
    <row r="759" spans="1:9">
      <c r="A759" t="s">
        <v>777</v>
      </c>
      <c r="B759" t="s">
        <v>8</v>
      </c>
      <c r="C759" t="str">
        <f t="shared" si="22"/>
        <v>A</v>
      </c>
      <c r="D759" t="s">
        <v>13</v>
      </c>
      <c r="E759" t="s">
        <v>10</v>
      </c>
      <c r="F759" t="str">
        <f t="shared" si="23"/>
        <v>Mobile</v>
      </c>
      <c r="G759">
        <v>8</v>
      </c>
      <c r="H759">
        <v>0</v>
      </c>
      <c r="I759">
        <v>0</v>
      </c>
    </row>
    <row r="760" spans="1:9">
      <c r="A760" t="s">
        <v>778</v>
      </c>
      <c r="B760" t="s">
        <v>15</v>
      </c>
      <c r="C760" t="str">
        <f t="shared" si="22"/>
        <v>B</v>
      </c>
      <c r="D760" t="s">
        <v>13</v>
      </c>
      <c r="E760" t="s">
        <v>33</v>
      </c>
      <c r="F760" t="str">
        <f t="shared" si="23"/>
        <v>Desktop</v>
      </c>
      <c r="G760">
        <v>8</v>
      </c>
      <c r="H760">
        <v>1</v>
      </c>
      <c r="I760">
        <v>2374.31</v>
      </c>
    </row>
    <row r="761" spans="1:9">
      <c r="A761" t="s">
        <v>779</v>
      </c>
      <c r="B761" t="s">
        <v>8</v>
      </c>
      <c r="C761" t="str">
        <f t="shared" si="22"/>
        <v>A</v>
      </c>
      <c r="D761" t="s">
        <v>20</v>
      </c>
      <c r="E761" t="s">
        <v>23</v>
      </c>
      <c r="F761" t="str">
        <f t="shared" si="23"/>
        <v>Desktop</v>
      </c>
      <c r="G761">
        <v>10</v>
      </c>
      <c r="H761">
        <v>0</v>
      </c>
      <c r="I761">
        <v>0</v>
      </c>
    </row>
    <row r="762" spans="1:9">
      <c r="A762" t="s">
        <v>780</v>
      </c>
      <c r="B762" t="s">
        <v>15</v>
      </c>
      <c r="C762" t="str">
        <f t="shared" si="22"/>
        <v>B</v>
      </c>
      <c r="D762" t="s">
        <v>20</v>
      </c>
      <c r="E762" t="s">
        <v>23</v>
      </c>
      <c r="F762" t="str">
        <f t="shared" si="23"/>
        <v>Desktop</v>
      </c>
      <c r="G762">
        <v>6</v>
      </c>
      <c r="H762">
        <v>0</v>
      </c>
      <c r="I762">
        <v>0</v>
      </c>
    </row>
    <row r="763" spans="1:9">
      <c r="A763" t="s">
        <v>781</v>
      </c>
      <c r="B763" t="s">
        <v>8</v>
      </c>
      <c r="C763" t="str">
        <f t="shared" si="22"/>
        <v>A</v>
      </c>
      <c r="D763" t="s">
        <v>13</v>
      </c>
      <c r="E763" t="s">
        <v>10</v>
      </c>
      <c r="F763" t="str">
        <f t="shared" si="23"/>
        <v>Mobile</v>
      </c>
      <c r="G763">
        <v>7</v>
      </c>
      <c r="H763">
        <v>0</v>
      </c>
      <c r="I763">
        <v>0</v>
      </c>
    </row>
    <row r="764" spans="1:9">
      <c r="A764" t="s">
        <v>782</v>
      </c>
      <c r="B764" t="s">
        <v>8</v>
      </c>
      <c r="C764" t="str">
        <f t="shared" si="22"/>
        <v>A</v>
      </c>
      <c r="D764" t="s">
        <v>13</v>
      </c>
      <c r="E764" t="s">
        <v>23</v>
      </c>
      <c r="F764" t="str">
        <f t="shared" si="23"/>
        <v>Desktop</v>
      </c>
      <c r="G764">
        <v>6</v>
      </c>
      <c r="H764">
        <v>0</v>
      </c>
      <c r="I764">
        <v>0</v>
      </c>
    </row>
    <row r="765" spans="1:9">
      <c r="A765" t="s">
        <v>783</v>
      </c>
      <c r="B765" t="s">
        <v>15</v>
      </c>
      <c r="C765" t="str">
        <f t="shared" si="22"/>
        <v>B</v>
      </c>
      <c r="D765" t="s">
        <v>9</v>
      </c>
      <c r="E765" t="s">
        <v>10</v>
      </c>
      <c r="F765" t="str">
        <f t="shared" si="23"/>
        <v>Mobile</v>
      </c>
      <c r="G765">
        <v>11</v>
      </c>
      <c r="H765">
        <v>1</v>
      </c>
      <c r="I765">
        <v>4871.66</v>
      </c>
    </row>
    <row r="766" spans="1:9">
      <c r="A766" t="s">
        <v>784</v>
      </c>
      <c r="B766" t="s">
        <v>8</v>
      </c>
      <c r="C766" t="str">
        <f t="shared" si="22"/>
        <v>A</v>
      </c>
      <c r="D766" t="s">
        <v>9</v>
      </c>
      <c r="E766" t="s">
        <v>10</v>
      </c>
      <c r="F766" t="str">
        <f t="shared" si="23"/>
        <v>Mobile</v>
      </c>
      <c r="G766">
        <v>8</v>
      </c>
      <c r="H766">
        <v>1</v>
      </c>
      <c r="I766">
        <v>4572.25</v>
      </c>
    </row>
    <row r="767" spans="1:9">
      <c r="A767" t="s">
        <v>785</v>
      </c>
      <c r="B767" t="s">
        <v>8</v>
      </c>
      <c r="C767" t="str">
        <f t="shared" si="22"/>
        <v>A</v>
      </c>
      <c r="D767" t="s">
        <v>9</v>
      </c>
      <c r="E767" t="s">
        <v>23</v>
      </c>
      <c r="F767" t="str">
        <f t="shared" si="23"/>
        <v>Desktop</v>
      </c>
      <c r="G767">
        <v>9</v>
      </c>
      <c r="H767">
        <v>0</v>
      </c>
      <c r="I767">
        <v>0</v>
      </c>
    </row>
    <row r="768" spans="1:9">
      <c r="A768" t="s">
        <v>786</v>
      </c>
      <c r="B768" t="s">
        <v>15</v>
      </c>
      <c r="C768" t="str">
        <f t="shared" si="22"/>
        <v>B</v>
      </c>
      <c r="D768" t="s">
        <v>13</v>
      </c>
      <c r="E768" t="s">
        <v>10</v>
      </c>
      <c r="F768" t="str">
        <f t="shared" si="23"/>
        <v>Mobile</v>
      </c>
      <c r="G768">
        <v>4</v>
      </c>
      <c r="H768">
        <v>1</v>
      </c>
      <c r="I768">
        <v>3309.54</v>
      </c>
    </row>
    <row r="769" spans="1:9">
      <c r="A769" t="s">
        <v>787</v>
      </c>
      <c r="B769" t="s">
        <v>15</v>
      </c>
      <c r="C769" t="str">
        <f t="shared" si="22"/>
        <v>B</v>
      </c>
      <c r="D769" t="s">
        <v>20</v>
      </c>
      <c r="E769" t="s">
        <v>16</v>
      </c>
      <c r="F769" t="str">
        <f t="shared" si="23"/>
        <v>Mobile</v>
      </c>
      <c r="G769">
        <v>6</v>
      </c>
      <c r="H769">
        <v>0</v>
      </c>
      <c r="I769">
        <v>0</v>
      </c>
    </row>
    <row r="770" spans="1:9">
      <c r="A770" t="s">
        <v>788</v>
      </c>
      <c r="B770" t="s">
        <v>15</v>
      </c>
      <c r="C770" t="str">
        <f t="shared" ref="C770:C833" si="24">IF(OR(B770="control", B770="A"), "A", "B")</f>
        <v>B</v>
      </c>
      <c r="D770" t="s">
        <v>9</v>
      </c>
      <c r="E770" t="s">
        <v>10</v>
      </c>
      <c r="F770" t="str">
        <f t="shared" ref="F770:F833" si="25">PROPER(E770)</f>
        <v>Mobile</v>
      </c>
      <c r="G770">
        <v>10</v>
      </c>
      <c r="H770">
        <v>1</v>
      </c>
      <c r="I770">
        <v>5005.33</v>
      </c>
    </row>
    <row r="771" spans="1:9">
      <c r="A771" t="s">
        <v>789</v>
      </c>
      <c r="B771" t="s">
        <v>15</v>
      </c>
      <c r="C771" t="str">
        <f t="shared" si="24"/>
        <v>B</v>
      </c>
      <c r="D771" t="s">
        <v>13</v>
      </c>
      <c r="E771" t="s">
        <v>23</v>
      </c>
      <c r="F771" t="str">
        <f t="shared" si="25"/>
        <v>Desktop</v>
      </c>
      <c r="G771">
        <v>3</v>
      </c>
      <c r="H771">
        <v>0</v>
      </c>
      <c r="I771">
        <v>0</v>
      </c>
    </row>
    <row r="772" spans="1:9">
      <c r="A772" t="s">
        <v>790</v>
      </c>
      <c r="B772" t="s">
        <v>15</v>
      </c>
      <c r="C772" t="str">
        <f t="shared" si="24"/>
        <v>B</v>
      </c>
      <c r="D772" t="s">
        <v>20</v>
      </c>
      <c r="E772" t="s">
        <v>10</v>
      </c>
      <c r="F772" t="str">
        <f t="shared" si="25"/>
        <v>Mobile</v>
      </c>
      <c r="G772">
        <v>8</v>
      </c>
      <c r="H772">
        <v>0</v>
      </c>
      <c r="I772">
        <v>0</v>
      </c>
    </row>
    <row r="773" spans="1:9">
      <c r="A773" t="s">
        <v>791</v>
      </c>
      <c r="B773" t="s">
        <v>8</v>
      </c>
      <c r="C773" t="str">
        <f t="shared" si="24"/>
        <v>A</v>
      </c>
      <c r="D773" t="s">
        <v>9</v>
      </c>
      <c r="E773" t="s">
        <v>23</v>
      </c>
      <c r="F773" t="str">
        <f t="shared" si="25"/>
        <v>Desktop</v>
      </c>
      <c r="G773">
        <v>3</v>
      </c>
      <c r="H773">
        <v>0</v>
      </c>
      <c r="I773">
        <v>0</v>
      </c>
    </row>
    <row r="774" spans="1:9">
      <c r="A774" t="s">
        <v>792</v>
      </c>
      <c r="B774" t="s">
        <v>8</v>
      </c>
      <c r="C774" t="str">
        <f t="shared" si="24"/>
        <v>A</v>
      </c>
      <c r="D774" t="s">
        <v>9</v>
      </c>
      <c r="E774" t="s">
        <v>10</v>
      </c>
      <c r="F774" t="str">
        <f t="shared" si="25"/>
        <v>Mobile</v>
      </c>
      <c r="G774">
        <v>4</v>
      </c>
      <c r="H774">
        <v>1</v>
      </c>
      <c r="I774">
        <v>3201.77</v>
      </c>
    </row>
    <row r="775" spans="1:9">
      <c r="A775" t="s">
        <v>793</v>
      </c>
      <c r="B775" t="s">
        <v>8</v>
      </c>
      <c r="C775" t="str">
        <f t="shared" si="24"/>
        <v>A</v>
      </c>
      <c r="D775" t="s">
        <v>13</v>
      </c>
      <c r="E775" t="s">
        <v>10</v>
      </c>
      <c r="F775" t="str">
        <f t="shared" si="25"/>
        <v>Mobile</v>
      </c>
      <c r="G775">
        <v>4</v>
      </c>
      <c r="H775">
        <v>0</v>
      </c>
      <c r="I775">
        <v>0</v>
      </c>
    </row>
    <row r="776" spans="1:9">
      <c r="A776" t="s">
        <v>794</v>
      </c>
      <c r="B776" t="s">
        <v>15</v>
      </c>
      <c r="C776" t="str">
        <f t="shared" si="24"/>
        <v>B</v>
      </c>
      <c r="D776" t="s">
        <v>20</v>
      </c>
      <c r="E776" t="s">
        <v>33</v>
      </c>
      <c r="F776" t="str">
        <f t="shared" si="25"/>
        <v>Desktop</v>
      </c>
      <c r="G776">
        <v>4</v>
      </c>
      <c r="H776">
        <v>0</v>
      </c>
      <c r="I776">
        <v>0</v>
      </c>
    </row>
    <row r="777" spans="1:9">
      <c r="A777" t="s">
        <v>795</v>
      </c>
      <c r="B777" t="s">
        <v>15</v>
      </c>
      <c r="C777" t="str">
        <f t="shared" si="24"/>
        <v>B</v>
      </c>
      <c r="D777" t="s">
        <v>20</v>
      </c>
      <c r="E777" t="s">
        <v>10</v>
      </c>
      <c r="F777" t="str">
        <f t="shared" si="25"/>
        <v>Mobile</v>
      </c>
      <c r="G777">
        <v>6</v>
      </c>
      <c r="H777">
        <v>0</v>
      </c>
      <c r="I777">
        <v>0</v>
      </c>
    </row>
    <row r="778" spans="1:9">
      <c r="A778" t="s">
        <v>796</v>
      </c>
      <c r="B778" t="s">
        <v>8</v>
      </c>
      <c r="C778" t="str">
        <f t="shared" si="24"/>
        <v>A</v>
      </c>
      <c r="D778" t="s">
        <v>9</v>
      </c>
      <c r="E778" t="s">
        <v>23</v>
      </c>
      <c r="F778" t="str">
        <f t="shared" si="25"/>
        <v>Desktop</v>
      </c>
      <c r="G778">
        <v>4</v>
      </c>
      <c r="H778">
        <v>0</v>
      </c>
      <c r="I778">
        <v>0</v>
      </c>
    </row>
    <row r="779" spans="1:9">
      <c r="A779" t="s">
        <v>797</v>
      </c>
      <c r="B779" t="s">
        <v>15</v>
      </c>
      <c r="C779" t="str">
        <f t="shared" si="24"/>
        <v>B</v>
      </c>
      <c r="D779" t="s">
        <v>9</v>
      </c>
      <c r="E779" t="s">
        <v>83</v>
      </c>
      <c r="F779" t="str">
        <f t="shared" si="25"/>
        <v>Tablet</v>
      </c>
      <c r="G779">
        <v>8</v>
      </c>
      <c r="H779">
        <v>0</v>
      </c>
      <c r="I779">
        <v>0</v>
      </c>
    </row>
    <row r="780" spans="1:9">
      <c r="A780" t="s">
        <v>798</v>
      </c>
      <c r="B780" t="s">
        <v>12</v>
      </c>
      <c r="C780" t="str">
        <f t="shared" si="24"/>
        <v>A</v>
      </c>
      <c r="D780" t="s">
        <v>20</v>
      </c>
      <c r="E780" t="s">
        <v>10</v>
      </c>
      <c r="F780" t="str">
        <f t="shared" si="25"/>
        <v>Mobile</v>
      </c>
      <c r="G780">
        <v>11</v>
      </c>
      <c r="H780">
        <v>0</v>
      </c>
      <c r="I780">
        <v>0</v>
      </c>
    </row>
    <row r="781" spans="1:9">
      <c r="A781" t="s">
        <v>799</v>
      </c>
      <c r="B781" t="s">
        <v>8</v>
      </c>
      <c r="C781" t="str">
        <f t="shared" si="24"/>
        <v>A</v>
      </c>
      <c r="D781" t="s">
        <v>20</v>
      </c>
      <c r="E781" t="s">
        <v>10</v>
      </c>
      <c r="F781" t="str">
        <f t="shared" si="25"/>
        <v>Mobile</v>
      </c>
      <c r="G781">
        <v>2</v>
      </c>
      <c r="H781">
        <v>0</v>
      </c>
      <c r="I781">
        <v>0</v>
      </c>
    </row>
    <row r="782" spans="1:9">
      <c r="A782" t="s">
        <v>800</v>
      </c>
      <c r="B782" t="s">
        <v>15</v>
      </c>
      <c r="C782" t="str">
        <f t="shared" si="24"/>
        <v>B</v>
      </c>
      <c r="D782" t="s">
        <v>9</v>
      </c>
      <c r="E782" t="s">
        <v>23</v>
      </c>
      <c r="F782" t="str">
        <f t="shared" si="25"/>
        <v>Desktop</v>
      </c>
      <c r="G782">
        <v>4</v>
      </c>
      <c r="H782">
        <v>1</v>
      </c>
      <c r="I782">
        <v>5171.74</v>
      </c>
    </row>
    <row r="783" spans="1:9">
      <c r="A783" t="s">
        <v>801</v>
      </c>
      <c r="B783" t="s">
        <v>15</v>
      </c>
      <c r="C783" t="str">
        <f t="shared" si="24"/>
        <v>B</v>
      </c>
      <c r="D783" t="s">
        <v>20</v>
      </c>
      <c r="E783" t="s">
        <v>33</v>
      </c>
      <c r="F783" t="str">
        <f t="shared" si="25"/>
        <v>Desktop</v>
      </c>
      <c r="G783">
        <v>6</v>
      </c>
      <c r="H783">
        <v>0</v>
      </c>
      <c r="I783">
        <v>0</v>
      </c>
    </row>
    <row r="784" spans="1:9">
      <c r="A784" t="s">
        <v>802</v>
      </c>
      <c r="B784" t="s">
        <v>15</v>
      </c>
      <c r="C784" t="str">
        <f t="shared" si="24"/>
        <v>B</v>
      </c>
      <c r="D784" t="s">
        <v>13</v>
      </c>
      <c r="E784" t="s">
        <v>33</v>
      </c>
      <c r="F784" t="str">
        <f t="shared" si="25"/>
        <v>Desktop</v>
      </c>
      <c r="G784">
        <v>12</v>
      </c>
      <c r="H784">
        <v>0</v>
      </c>
      <c r="I784">
        <v>0</v>
      </c>
    </row>
    <row r="785" spans="1:9">
      <c r="A785" t="s">
        <v>803</v>
      </c>
      <c r="B785" t="s">
        <v>8</v>
      </c>
      <c r="C785" t="str">
        <f t="shared" si="24"/>
        <v>A</v>
      </c>
      <c r="D785" t="s">
        <v>18</v>
      </c>
      <c r="E785" t="s">
        <v>10</v>
      </c>
      <c r="F785" t="str">
        <f t="shared" si="25"/>
        <v>Mobile</v>
      </c>
      <c r="G785">
        <v>3</v>
      </c>
      <c r="H785">
        <v>0</v>
      </c>
      <c r="I785">
        <v>0</v>
      </c>
    </row>
    <row r="786" spans="1:9">
      <c r="A786" t="s">
        <v>804</v>
      </c>
      <c r="B786" t="s">
        <v>15</v>
      </c>
      <c r="C786" t="str">
        <f t="shared" si="24"/>
        <v>B</v>
      </c>
      <c r="D786" t="s">
        <v>20</v>
      </c>
      <c r="E786" t="s">
        <v>23</v>
      </c>
      <c r="F786" t="str">
        <f t="shared" si="25"/>
        <v>Desktop</v>
      </c>
      <c r="G786">
        <v>7</v>
      </c>
      <c r="H786">
        <v>0</v>
      </c>
      <c r="I786">
        <v>0</v>
      </c>
    </row>
    <row r="787" spans="1:9">
      <c r="A787" t="s">
        <v>805</v>
      </c>
      <c r="B787" t="s">
        <v>12</v>
      </c>
      <c r="C787" t="str">
        <f t="shared" si="24"/>
        <v>A</v>
      </c>
      <c r="D787" t="s">
        <v>13</v>
      </c>
      <c r="E787" t="s">
        <v>10</v>
      </c>
      <c r="F787" t="str">
        <f t="shared" si="25"/>
        <v>Mobile</v>
      </c>
      <c r="G787">
        <v>11</v>
      </c>
      <c r="H787">
        <v>0</v>
      </c>
      <c r="I787">
        <v>0</v>
      </c>
    </row>
    <row r="788" spans="1:9">
      <c r="A788" t="s">
        <v>806</v>
      </c>
      <c r="B788" t="s">
        <v>15</v>
      </c>
      <c r="C788" t="str">
        <f t="shared" si="24"/>
        <v>B</v>
      </c>
      <c r="D788" t="s">
        <v>20</v>
      </c>
      <c r="E788" t="s">
        <v>83</v>
      </c>
      <c r="F788" t="str">
        <f t="shared" si="25"/>
        <v>Tablet</v>
      </c>
      <c r="G788">
        <v>7</v>
      </c>
      <c r="H788">
        <v>0</v>
      </c>
      <c r="I788">
        <v>0</v>
      </c>
    </row>
    <row r="789" spans="1:9">
      <c r="A789" t="s">
        <v>807</v>
      </c>
      <c r="B789" t="s">
        <v>15</v>
      </c>
      <c r="C789" t="str">
        <f t="shared" si="24"/>
        <v>B</v>
      </c>
      <c r="D789" t="s">
        <v>20</v>
      </c>
      <c r="E789" t="s">
        <v>33</v>
      </c>
      <c r="F789" t="str">
        <f t="shared" si="25"/>
        <v>Desktop</v>
      </c>
      <c r="G789">
        <v>6</v>
      </c>
      <c r="H789">
        <v>0</v>
      </c>
      <c r="I789">
        <v>0</v>
      </c>
    </row>
    <row r="790" spans="1:9">
      <c r="A790" t="s">
        <v>808</v>
      </c>
      <c r="B790" t="s">
        <v>12</v>
      </c>
      <c r="C790" t="str">
        <f t="shared" si="24"/>
        <v>A</v>
      </c>
      <c r="D790" t="s">
        <v>9</v>
      </c>
      <c r="E790" t="s">
        <v>10</v>
      </c>
      <c r="F790" t="str">
        <f t="shared" si="25"/>
        <v>Mobile</v>
      </c>
      <c r="G790">
        <v>4</v>
      </c>
      <c r="H790">
        <v>0</v>
      </c>
      <c r="I790">
        <v>0</v>
      </c>
    </row>
    <row r="791" spans="1:9">
      <c r="A791" t="s">
        <v>809</v>
      </c>
      <c r="B791" t="s">
        <v>15</v>
      </c>
      <c r="C791" t="str">
        <f t="shared" si="24"/>
        <v>B</v>
      </c>
      <c r="D791" t="s">
        <v>13</v>
      </c>
      <c r="E791" t="s">
        <v>10</v>
      </c>
      <c r="F791" t="str">
        <f t="shared" si="25"/>
        <v>Mobile</v>
      </c>
      <c r="G791">
        <v>4</v>
      </c>
      <c r="H791">
        <v>0</v>
      </c>
      <c r="I791">
        <v>0</v>
      </c>
    </row>
    <row r="792" spans="1:9">
      <c r="A792" t="s">
        <v>810</v>
      </c>
      <c r="B792" t="s">
        <v>8</v>
      </c>
      <c r="C792" t="str">
        <f t="shared" si="24"/>
        <v>A</v>
      </c>
      <c r="D792" t="s">
        <v>18</v>
      </c>
      <c r="E792" t="s">
        <v>10</v>
      </c>
      <c r="F792" t="str">
        <f t="shared" si="25"/>
        <v>Mobile</v>
      </c>
      <c r="G792">
        <v>8</v>
      </c>
      <c r="H792">
        <v>0</v>
      </c>
      <c r="I792">
        <v>0</v>
      </c>
    </row>
    <row r="793" spans="1:9">
      <c r="A793" t="s">
        <v>811</v>
      </c>
      <c r="B793" t="s">
        <v>15</v>
      </c>
      <c r="C793" t="str">
        <f t="shared" si="24"/>
        <v>B</v>
      </c>
      <c r="D793" t="s">
        <v>13</v>
      </c>
      <c r="E793" t="s">
        <v>10</v>
      </c>
      <c r="F793" t="str">
        <f t="shared" si="25"/>
        <v>Mobile</v>
      </c>
      <c r="G793">
        <v>5</v>
      </c>
      <c r="H793">
        <v>0</v>
      </c>
      <c r="I793">
        <v>0</v>
      </c>
    </row>
    <row r="794" spans="1:9">
      <c r="A794" t="s">
        <v>812</v>
      </c>
      <c r="B794" t="s">
        <v>15</v>
      </c>
      <c r="C794" t="str">
        <f t="shared" si="24"/>
        <v>B</v>
      </c>
      <c r="D794" t="s">
        <v>20</v>
      </c>
      <c r="E794" t="s">
        <v>23</v>
      </c>
      <c r="F794" t="str">
        <f t="shared" si="25"/>
        <v>Desktop</v>
      </c>
      <c r="G794">
        <v>4</v>
      </c>
      <c r="H794">
        <v>0</v>
      </c>
      <c r="I794">
        <v>0</v>
      </c>
    </row>
    <row r="795" spans="1:9">
      <c r="A795" t="s">
        <v>813</v>
      </c>
      <c r="B795" t="s">
        <v>8</v>
      </c>
      <c r="C795" t="str">
        <f t="shared" si="24"/>
        <v>A</v>
      </c>
      <c r="D795" t="s">
        <v>20</v>
      </c>
      <c r="E795" t="s">
        <v>10</v>
      </c>
      <c r="F795" t="str">
        <f t="shared" si="25"/>
        <v>Mobile</v>
      </c>
      <c r="G795">
        <v>2</v>
      </c>
      <c r="H795">
        <v>0</v>
      </c>
      <c r="I795">
        <v>0</v>
      </c>
    </row>
    <row r="796" spans="1:9">
      <c r="A796" t="s">
        <v>814</v>
      </c>
      <c r="B796" t="s">
        <v>15</v>
      </c>
      <c r="C796" t="str">
        <f t="shared" si="24"/>
        <v>B</v>
      </c>
      <c r="D796" t="s">
        <v>20</v>
      </c>
      <c r="E796" t="s">
        <v>10</v>
      </c>
      <c r="F796" t="str">
        <f t="shared" si="25"/>
        <v>Mobile</v>
      </c>
      <c r="G796">
        <v>5</v>
      </c>
      <c r="H796">
        <v>0</v>
      </c>
      <c r="I796">
        <v>0</v>
      </c>
    </row>
    <row r="797" spans="1:9">
      <c r="A797" t="s">
        <v>815</v>
      </c>
      <c r="B797" t="s">
        <v>12</v>
      </c>
      <c r="C797" t="str">
        <f t="shared" si="24"/>
        <v>A</v>
      </c>
      <c r="D797" t="s">
        <v>20</v>
      </c>
      <c r="E797" t="s">
        <v>10</v>
      </c>
      <c r="F797" t="str">
        <f t="shared" si="25"/>
        <v>Mobile</v>
      </c>
      <c r="G797">
        <v>5</v>
      </c>
      <c r="H797">
        <v>0</v>
      </c>
      <c r="I797">
        <v>0</v>
      </c>
    </row>
    <row r="798" spans="1:9">
      <c r="A798" t="s">
        <v>816</v>
      </c>
      <c r="B798" t="s">
        <v>12</v>
      </c>
      <c r="C798" t="str">
        <f t="shared" si="24"/>
        <v>A</v>
      </c>
      <c r="D798" t="s">
        <v>20</v>
      </c>
      <c r="E798" t="s">
        <v>83</v>
      </c>
      <c r="F798" t="str">
        <f t="shared" si="25"/>
        <v>Tablet</v>
      </c>
      <c r="G798">
        <v>5</v>
      </c>
      <c r="H798">
        <v>0</v>
      </c>
      <c r="I798">
        <v>0</v>
      </c>
    </row>
    <row r="799" spans="1:9">
      <c r="A799" t="s">
        <v>817</v>
      </c>
      <c r="B799" t="s">
        <v>8</v>
      </c>
      <c r="C799" t="str">
        <f t="shared" si="24"/>
        <v>A</v>
      </c>
      <c r="D799" t="s">
        <v>20</v>
      </c>
      <c r="E799" t="s">
        <v>23</v>
      </c>
      <c r="F799" t="str">
        <f t="shared" si="25"/>
        <v>Desktop</v>
      </c>
      <c r="G799">
        <v>7</v>
      </c>
      <c r="H799">
        <v>0</v>
      </c>
      <c r="I799">
        <v>0</v>
      </c>
    </row>
    <row r="800" spans="1:9">
      <c r="A800" t="s">
        <v>818</v>
      </c>
      <c r="B800" t="s">
        <v>8</v>
      </c>
      <c r="C800" t="str">
        <f t="shared" si="24"/>
        <v>A</v>
      </c>
      <c r="D800" t="s">
        <v>13</v>
      </c>
      <c r="E800" t="s">
        <v>10</v>
      </c>
      <c r="F800" t="str">
        <f t="shared" si="25"/>
        <v>Mobile</v>
      </c>
      <c r="G800">
        <v>1</v>
      </c>
      <c r="H800">
        <v>0</v>
      </c>
      <c r="I800">
        <v>0</v>
      </c>
    </row>
    <row r="801" spans="1:9">
      <c r="A801" t="s">
        <v>819</v>
      </c>
      <c r="B801" t="s">
        <v>29</v>
      </c>
      <c r="C801" t="str">
        <f t="shared" si="24"/>
        <v>B</v>
      </c>
      <c r="D801" t="s">
        <v>13</v>
      </c>
      <c r="E801" t="s">
        <v>10</v>
      </c>
      <c r="F801" t="str">
        <f t="shared" si="25"/>
        <v>Mobile</v>
      </c>
      <c r="G801">
        <v>3</v>
      </c>
      <c r="H801">
        <v>0</v>
      </c>
      <c r="I801">
        <v>0</v>
      </c>
    </row>
    <row r="802" spans="1:9">
      <c r="A802" t="s">
        <v>820</v>
      </c>
      <c r="B802" t="s">
        <v>15</v>
      </c>
      <c r="C802" t="str">
        <f t="shared" si="24"/>
        <v>B</v>
      </c>
      <c r="D802" t="s">
        <v>13</v>
      </c>
      <c r="E802" t="s">
        <v>83</v>
      </c>
      <c r="F802" t="str">
        <f t="shared" si="25"/>
        <v>Tablet</v>
      </c>
      <c r="G802">
        <v>6</v>
      </c>
      <c r="H802">
        <v>0</v>
      </c>
      <c r="I802">
        <v>0</v>
      </c>
    </row>
    <row r="803" spans="1:9">
      <c r="A803" t="s">
        <v>821</v>
      </c>
      <c r="B803" t="s">
        <v>8</v>
      </c>
      <c r="C803" t="str">
        <f t="shared" si="24"/>
        <v>A</v>
      </c>
      <c r="D803" t="s">
        <v>13</v>
      </c>
      <c r="E803" t="s">
        <v>16</v>
      </c>
      <c r="F803" t="str">
        <f t="shared" si="25"/>
        <v>Mobile</v>
      </c>
      <c r="G803">
        <v>3</v>
      </c>
      <c r="H803">
        <v>0</v>
      </c>
      <c r="I803">
        <v>0</v>
      </c>
    </row>
    <row r="804" spans="1:9">
      <c r="A804" t="s">
        <v>822</v>
      </c>
      <c r="B804" t="s">
        <v>12</v>
      </c>
      <c r="C804" t="str">
        <f t="shared" si="24"/>
        <v>A</v>
      </c>
      <c r="D804" t="s">
        <v>20</v>
      </c>
      <c r="E804" t="s">
        <v>10</v>
      </c>
      <c r="F804" t="str">
        <f t="shared" si="25"/>
        <v>Mobile</v>
      </c>
      <c r="G804">
        <v>9</v>
      </c>
      <c r="H804">
        <v>0</v>
      </c>
      <c r="I804">
        <v>0</v>
      </c>
    </row>
    <row r="805" spans="1:9">
      <c r="A805" t="s">
        <v>823</v>
      </c>
      <c r="B805" t="s">
        <v>15</v>
      </c>
      <c r="C805" t="str">
        <f t="shared" si="24"/>
        <v>B</v>
      </c>
      <c r="D805" t="s">
        <v>20</v>
      </c>
      <c r="E805" t="s">
        <v>10</v>
      </c>
      <c r="F805" t="str">
        <f t="shared" si="25"/>
        <v>Mobile</v>
      </c>
      <c r="G805">
        <v>3</v>
      </c>
      <c r="H805">
        <v>0</v>
      </c>
      <c r="I805">
        <v>0</v>
      </c>
    </row>
    <row r="806" spans="1:9">
      <c r="A806" t="s">
        <v>824</v>
      </c>
      <c r="B806" t="s">
        <v>15</v>
      </c>
      <c r="C806" t="str">
        <f t="shared" si="24"/>
        <v>B</v>
      </c>
      <c r="D806" t="s">
        <v>13</v>
      </c>
      <c r="E806" t="s">
        <v>10</v>
      </c>
      <c r="F806" t="str">
        <f t="shared" si="25"/>
        <v>Mobile</v>
      </c>
      <c r="G806">
        <v>4</v>
      </c>
      <c r="H806">
        <v>0</v>
      </c>
      <c r="I806">
        <v>0</v>
      </c>
    </row>
    <row r="807" spans="1:9">
      <c r="A807" t="s">
        <v>825</v>
      </c>
      <c r="B807" t="s">
        <v>15</v>
      </c>
      <c r="C807" t="str">
        <f t="shared" si="24"/>
        <v>B</v>
      </c>
      <c r="D807" t="s">
        <v>13</v>
      </c>
      <c r="E807" t="s">
        <v>10</v>
      </c>
      <c r="F807" t="str">
        <f t="shared" si="25"/>
        <v>Mobile</v>
      </c>
      <c r="G807">
        <v>11</v>
      </c>
      <c r="H807">
        <v>0</v>
      </c>
      <c r="I807">
        <v>0</v>
      </c>
    </row>
    <row r="808" spans="1:9">
      <c r="A808" t="s">
        <v>826</v>
      </c>
      <c r="B808" t="s">
        <v>8</v>
      </c>
      <c r="C808" t="str">
        <f t="shared" si="24"/>
        <v>A</v>
      </c>
      <c r="D808" t="s">
        <v>20</v>
      </c>
      <c r="E808" t="s">
        <v>23</v>
      </c>
      <c r="F808" t="str">
        <f t="shared" si="25"/>
        <v>Desktop</v>
      </c>
      <c r="G808">
        <v>1</v>
      </c>
      <c r="H808">
        <v>0</v>
      </c>
      <c r="I808">
        <v>0</v>
      </c>
    </row>
    <row r="809" spans="1:9">
      <c r="A809" t="s">
        <v>827</v>
      </c>
      <c r="B809" t="s">
        <v>8</v>
      </c>
      <c r="C809" t="str">
        <f t="shared" si="24"/>
        <v>A</v>
      </c>
      <c r="D809" t="s">
        <v>9</v>
      </c>
      <c r="E809" t="s">
        <v>33</v>
      </c>
      <c r="F809" t="str">
        <f t="shared" si="25"/>
        <v>Desktop</v>
      </c>
      <c r="G809">
        <v>10</v>
      </c>
      <c r="H809">
        <v>0</v>
      </c>
      <c r="I809">
        <v>0</v>
      </c>
    </row>
    <row r="810" spans="1:9">
      <c r="A810" t="s">
        <v>828</v>
      </c>
      <c r="B810" t="s">
        <v>8</v>
      </c>
      <c r="C810" t="str">
        <f t="shared" si="24"/>
        <v>A</v>
      </c>
      <c r="D810" t="s">
        <v>9</v>
      </c>
      <c r="E810" t="s">
        <v>10</v>
      </c>
      <c r="F810" t="str">
        <f t="shared" si="25"/>
        <v>Mobile</v>
      </c>
      <c r="G810">
        <v>4</v>
      </c>
      <c r="H810">
        <v>0</v>
      </c>
      <c r="I810">
        <v>0</v>
      </c>
    </row>
    <row r="811" spans="1:9">
      <c r="A811" t="s">
        <v>829</v>
      </c>
      <c r="B811" t="s">
        <v>15</v>
      </c>
      <c r="C811" t="str">
        <f t="shared" si="24"/>
        <v>B</v>
      </c>
      <c r="D811" t="s">
        <v>13</v>
      </c>
      <c r="E811" t="s">
        <v>16</v>
      </c>
      <c r="F811" t="str">
        <f t="shared" si="25"/>
        <v>Mobile</v>
      </c>
      <c r="G811">
        <v>10</v>
      </c>
      <c r="H811">
        <v>0</v>
      </c>
      <c r="I811">
        <v>0</v>
      </c>
    </row>
    <row r="812" spans="1:9">
      <c r="A812" t="s">
        <v>830</v>
      </c>
      <c r="B812" t="s">
        <v>8</v>
      </c>
      <c r="C812" t="str">
        <f t="shared" si="24"/>
        <v>A</v>
      </c>
      <c r="D812" t="s">
        <v>20</v>
      </c>
      <c r="E812" t="s">
        <v>10</v>
      </c>
      <c r="F812" t="str">
        <f t="shared" si="25"/>
        <v>Mobile</v>
      </c>
      <c r="G812">
        <v>2</v>
      </c>
      <c r="H812">
        <v>0</v>
      </c>
      <c r="I812">
        <v>0</v>
      </c>
    </row>
    <row r="813" spans="1:9">
      <c r="A813" t="s">
        <v>831</v>
      </c>
      <c r="B813" t="s">
        <v>8</v>
      </c>
      <c r="C813" t="str">
        <f t="shared" si="24"/>
        <v>A</v>
      </c>
      <c r="D813" t="s">
        <v>13</v>
      </c>
      <c r="E813" t="s">
        <v>23</v>
      </c>
      <c r="F813" t="str">
        <f t="shared" si="25"/>
        <v>Desktop</v>
      </c>
      <c r="G813">
        <v>5</v>
      </c>
      <c r="H813">
        <v>0</v>
      </c>
      <c r="I813">
        <v>0</v>
      </c>
    </row>
    <row r="814" spans="1:9">
      <c r="A814" t="s">
        <v>832</v>
      </c>
      <c r="B814" t="s">
        <v>8</v>
      </c>
      <c r="C814" t="str">
        <f t="shared" si="24"/>
        <v>A</v>
      </c>
      <c r="D814" t="s">
        <v>13</v>
      </c>
      <c r="E814" t="s">
        <v>23</v>
      </c>
      <c r="F814" t="str">
        <f t="shared" si="25"/>
        <v>Desktop</v>
      </c>
      <c r="G814">
        <v>5</v>
      </c>
      <c r="H814">
        <v>1</v>
      </c>
      <c r="I814">
        <v>2171.5500000000002</v>
      </c>
    </row>
    <row r="815" spans="1:9">
      <c r="A815" t="s">
        <v>833</v>
      </c>
      <c r="B815" t="s">
        <v>15</v>
      </c>
      <c r="C815" t="str">
        <f t="shared" si="24"/>
        <v>B</v>
      </c>
      <c r="D815" t="s">
        <v>9</v>
      </c>
      <c r="E815" t="s">
        <v>10</v>
      </c>
      <c r="F815" t="str">
        <f t="shared" si="25"/>
        <v>Mobile</v>
      </c>
      <c r="G815">
        <v>8</v>
      </c>
      <c r="H815">
        <v>0</v>
      </c>
      <c r="I815">
        <v>0</v>
      </c>
    </row>
    <row r="816" spans="1:9">
      <c r="A816" t="s">
        <v>834</v>
      </c>
      <c r="B816" t="s">
        <v>15</v>
      </c>
      <c r="C816" t="str">
        <f t="shared" si="24"/>
        <v>B</v>
      </c>
      <c r="D816" t="s">
        <v>13</v>
      </c>
      <c r="E816" t="s">
        <v>10</v>
      </c>
      <c r="F816" t="str">
        <f t="shared" si="25"/>
        <v>Mobile</v>
      </c>
      <c r="G816">
        <v>4</v>
      </c>
      <c r="H816">
        <v>0</v>
      </c>
      <c r="I816">
        <v>0</v>
      </c>
    </row>
    <row r="817" spans="1:9">
      <c r="A817" t="s">
        <v>835</v>
      </c>
      <c r="B817" t="s">
        <v>8</v>
      </c>
      <c r="C817" t="str">
        <f t="shared" si="24"/>
        <v>A</v>
      </c>
      <c r="D817" t="s">
        <v>9</v>
      </c>
      <c r="E817" t="s">
        <v>23</v>
      </c>
      <c r="F817" t="str">
        <f t="shared" si="25"/>
        <v>Desktop</v>
      </c>
      <c r="G817">
        <v>2</v>
      </c>
      <c r="H817">
        <v>0</v>
      </c>
      <c r="I817">
        <v>0</v>
      </c>
    </row>
    <row r="818" spans="1:9">
      <c r="A818" t="s">
        <v>836</v>
      </c>
      <c r="B818" t="s">
        <v>8</v>
      </c>
      <c r="C818" t="str">
        <f t="shared" si="24"/>
        <v>A</v>
      </c>
      <c r="D818" t="s">
        <v>13</v>
      </c>
      <c r="E818" t="s">
        <v>10</v>
      </c>
      <c r="F818" t="str">
        <f t="shared" si="25"/>
        <v>Mobile</v>
      </c>
      <c r="G818">
        <v>6</v>
      </c>
      <c r="H818">
        <v>0</v>
      </c>
      <c r="I818">
        <v>0</v>
      </c>
    </row>
    <row r="819" spans="1:9">
      <c r="A819" t="s">
        <v>837</v>
      </c>
      <c r="B819" t="s">
        <v>15</v>
      </c>
      <c r="C819" t="str">
        <f t="shared" si="24"/>
        <v>B</v>
      </c>
      <c r="D819" t="s">
        <v>20</v>
      </c>
      <c r="E819" t="s">
        <v>10</v>
      </c>
      <c r="F819" t="str">
        <f t="shared" si="25"/>
        <v>Mobile</v>
      </c>
      <c r="G819">
        <v>7</v>
      </c>
      <c r="H819">
        <v>1</v>
      </c>
      <c r="I819">
        <v>1317.73</v>
      </c>
    </row>
    <row r="820" spans="1:9">
      <c r="A820" t="s">
        <v>838</v>
      </c>
      <c r="B820" t="s">
        <v>8</v>
      </c>
      <c r="C820" t="str">
        <f t="shared" si="24"/>
        <v>A</v>
      </c>
      <c r="D820" t="s">
        <v>13</v>
      </c>
      <c r="E820" t="s">
        <v>23</v>
      </c>
      <c r="F820" t="str">
        <f t="shared" si="25"/>
        <v>Desktop</v>
      </c>
      <c r="G820">
        <v>6</v>
      </c>
      <c r="H820">
        <v>0</v>
      </c>
      <c r="I820">
        <v>0</v>
      </c>
    </row>
    <row r="821" spans="1:9">
      <c r="A821" t="s">
        <v>839</v>
      </c>
      <c r="B821" t="s">
        <v>8</v>
      </c>
      <c r="C821" t="str">
        <f t="shared" si="24"/>
        <v>A</v>
      </c>
      <c r="D821" t="s">
        <v>13</v>
      </c>
      <c r="E821" t="s">
        <v>83</v>
      </c>
      <c r="F821" t="str">
        <f t="shared" si="25"/>
        <v>Tablet</v>
      </c>
      <c r="G821">
        <v>7</v>
      </c>
      <c r="H821">
        <v>0</v>
      </c>
      <c r="I821">
        <v>0</v>
      </c>
    </row>
    <row r="822" spans="1:9">
      <c r="A822" t="s">
        <v>840</v>
      </c>
      <c r="B822" t="s">
        <v>8</v>
      </c>
      <c r="C822" t="str">
        <f t="shared" si="24"/>
        <v>A</v>
      </c>
      <c r="D822" t="s">
        <v>13</v>
      </c>
      <c r="E822" t="s">
        <v>10</v>
      </c>
      <c r="F822" t="str">
        <f t="shared" si="25"/>
        <v>Mobile</v>
      </c>
      <c r="G822">
        <v>3</v>
      </c>
      <c r="H822">
        <v>0</v>
      </c>
      <c r="I822">
        <v>0</v>
      </c>
    </row>
    <row r="823" spans="1:9">
      <c r="A823" t="s">
        <v>841</v>
      </c>
      <c r="B823" t="s">
        <v>8</v>
      </c>
      <c r="C823" t="str">
        <f t="shared" si="24"/>
        <v>A</v>
      </c>
      <c r="D823" t="s">
        <v>20</v>
      </c>
      <c r="E823" t="s">
        <v>23</v>
      </c>
      <c r="F823" t="str">
        <f t="shared" si="25"/>
        <v>Desktop</v>
      </c>
      <c r="G823">
        <v>5</v>
      </c>
      <c r="H823">
        <v>0</v>
      </c>
      <c r="I823">
        <v>0</v>
      </c>
    </row>
    <row r="824" spans="1:9">
      <c r="A824" t="s">
        <v>842</v>
      </c>
      <c r="B824" t="s">
        <v>8</v>
      </c>
      <c r="C824" t="str">
        <f t="shared" si="24"/>
        <v>A</v>
      </c>
      <c r="D824" t="s">
        <v>20</v>
      </c>
      <c r="E824" t="s">
        <v>10</v>
      </c>
      <c r="F824" t="str">
        <f t="shared" si="25"/>
        <v>Mobile</v>
      </c>
      <c r="G824">
        <v>10</v>
      </c>
      <c r="H824">
        <v>0</v>
      </c>
      <c r="I824">
        <v>0</v>
      </c>
    </row>
    <row r="825" spans="1:9">
      <c r="A825" t="s">
        <v>843</v>
      </c>
      <c r="B825" t="s">
        <v>15</v>
      </c>
      <c r="C825" t="str">
        <f t="shared" si="24"/>
        <v>B</v>
      </c>
      <c r="D825" t="s">
        <v>9</v>
      </c>
      <c r="E825" t="s">
        <v>23</v>
      </c>
      <c r="F825" t="str">
        <f t="shared" si="25"/>
        <v>Desktop</v>
      </c>
      <c r="G825">
        <v>5</v>
      </c>
      <c r="H825">
        <v>1</v>
      </c>
      <c r="I825">
        <v>7633.49</v>
      </c>
    </row>
    <row r="826" spans="1:9">
      <c r="A826" t="s">
        <v>844</v>
      </c>
      <c r="B826" t="s">
        <v>8</v>
      </c>
      <c r="C826" t="str">
        <f t="shared" si="24"/>
        <v>A</v>
      </c>
      <c r="D826" t="s">
        <v>13</v>
      </c>
      <c r="E826" t="s">
        <v>23</v>
      </c>
      <c r="F826" t="str">
        <f t="shared" si="25"/>
        <v>Desktop</v>
      </c>
      <c r="G826">
        <v>8</v>
      </c>
      <c r="H826">
        <v>0</v>
      </c>
      <c r="I826">
        <v>0</v>
      </c>
    </row>
    <row r="827" spans="1:9">
      <c r="A827" t="s">
        <v>845</v>
      </c>
      <c r="B827" t="s">
        <v>15</v>
      </c>
      <c r="C827" t="str">
        <f t="shared" si="24"/>
        <v>B</v>
      </c>
      <c r="D827" t="s">
        <v>9</v>
      </c>
      <c r="E827" t="s">
        <v>16</v>
      </c>
      <c r="F827" t="str">
        <f t="shared" si="25"/>
        <v>Mobile</v>
      </c>
      <c r="G827">
        <v>6</v>
      </c>
      <c r="H827">
        <v>0</v>
      </c>
      <c r="I827">
        <v>0</v>
      </c>
    </row>
    <row r="828" spans="1:9">
      <c r="A828" t="s">
        <v>846</v>
      </c>
      <c r="B828" t="s">
        <v>8</v>
      </c>
      <c r="C828" t="str">
        <f t="shared" si="24"/>
        <v>A</v>
      </c>
      <c r="D828" t="s">
        <v>13</v>
      </c>
      <c r="E828" t="s">
        <v>10</v>
      </c>
      <c r="F828" t="str">
        <f t="shared" si="25"/>
        <v>Mobile</v>
      </c>
      <c r="G828">
        <v>8</v>
      </c>
      <c r="H828">
        <v>0</v>
      </c>
      <c r="I828">
        <v>0</v>
      </c>
    </row>
    <row r="829" spans="1:9">
      <c r="A829" t="s">
        <v>847</v>
      </c>
      <c r="B829" t="s">
        <v>15</v>
      </c>
      <c r="C829" t="str">
        <f t="shared" si="24"/>
        <v>B</v>
      </c>
      <c r="D829" t="s">
        <v>13</v>
      </c>
      <c r="E829" t="s">
        <v>23</v>
      </c>
      <c r="F829" t="str">
        <f t="shared" si="25"/>
        <v>Desktop</v>
      </c>
      <c r="G829">
        <v>6</v>
      </c>
      <c r="H829">
        <v>0</v>
      </c>
      <c r="I829">
        <v>0</v>
      </c>
    </row>
    <row r="830" spans="1:9">
      <c r="A830" t="s">
        <v>848</v>
      </c>
      <c r="B830" t="s">
        <v>15</v>
      </c>
      <c r="C830" t="str">
        <f t="shared" si="24"/>
        <v>B</v>
      </c>
      <c r="D830" t="s">
        <v>13</v>
      </c>
      <c r="E830" t="s">
        <v>23</v>
      </c>
      <c r="F830" t="str">
        <f t="shared" si="25"/>
        <v>Desktop</v>
      </c>
      <c r="G830">
        <v>5</v>
      </c>
      <c r="H830">
        <v>0</v>
      </c>
      <c r="I830">
        <v>0</v>
      </c>
    </row>
    <row r="831" spans="1:9">
      <c r="A831" t="s">
        <v>849</v>
      </c>
      <c r="B831" t="s">
        <v>8</v>
      </c>
      <c r="C831" t="str">
        <f t="shared" si="24"/>
        <v>A</v>
      </c>
      <c r="D831" t="s">
        <v>9</v>
      </c>
      <c r="E831" t="s">
        <v>10</v>
      </c>
      <c r="F831" t="str">
        <f t="shared" si="25"/>
        <v>Mobile</v>
      </c>
      <c r="G831">
        <v>5</v>
      </c>
      <c r="H831">
        <v>1</v>
      </c>
      <c r="I831">
        <v>6447</v>
      </c>
    </row>
    <row r="832" spans="1:9">
      <c r="A832" t="s">
        <v>850</v>
      </c>
      <c r="B832" t="s">
        <v>15</v>
      </c>
      <c r="C832" t="str">
        <f t="shared" si="24"/>
        <v>B</v>
      </c>
      <c r="D832" t="s">
        <v>13</v>
      </c>
      <c r="E832" t="s">
        <v>10</v>
      </c>
      <c r="F832" t="str">
        <f t="shared" si="25"/>
        <v>Mobile</v>
      </c>
      <c r="G832">
        <v>5</v>
      </c>
      <c r="H832">
        <v>0</v>
      </c>
      <c r="I832">
        <v>0</v>
      </c>
    </row>
    <row r="833" spans="1:9">
      <c r="A833" t="s">
        <v>851</v>
      </c>
      <c r="B833" t="s">
        <v>8</v>
      </c>
      <c r="C833" t="str">
        <f t="shared" si="24"/>
        <v>A</v>
      </c>
      <c r="D833" t="s">
        <v>13</v>
      </c>
      <c r="E833" t="s">
        <v>10</v>
      </c>
      <c r="F833" t="str">
        <f t="shared" si="25"/>
        <v>Mobile</v>
      </c>
      <c r="G833">
        <v>5</v>
      </c>
      <c r="H833">
        <v>0</v>
      </c>
      <c r="I833">
        <v>0</v>
      </c>
    </row>
    <row r="834" spans="1:9">
      <c r="A834" t="s">
        <v>852</v>
      </c>
      <c r="B834" t="s">
        <v>29</v>
      </c>
      <c r="C834" t="str">
        <f t="shared" ref="C834:C897" si="26">IF(OR(B834="control", B834="A"), "A", "B")</f>
        <v>B</v>
      </c>
      <c r="D834" t="s">
        <v>20</v>
      </c>
      <c r="E834" t="s">
        <v>10</v>
      </c>
      <c r="F834" t="str">
        <f t="shared" ref="F834:F897" si="27">PROPER(E834)</f>
        <v>Mobile</v>
      </c>
      <c r="G834">
        <v>8</v>
      </c>
      <c r="H834">
        <v>0</v>
      </c>
      <c r="I834">
        <v>0</v>
      </c>
    </row>
    <row r="835" spans="1:9">
      <c r="A835" t="s">
        <v>853</v>
      </c>
      <c r="B835" t="s">
        <v>8</v>
      </c>
      <c r="C835" t="str">
        <f t="shared" si="26"/>
        <v>A</v>
      </c>
      <c r="D835" t="s">
        <v>13</v>
      </c>
      <c r="E835" t="s">
        <v>16</v>
      </c>
      <c r="F835" t="str">
        <f t="shared" si="27"/>
        <v>Mobile</v>
      </c>
      <c r="G835">
        <v>7</v>
      </c>
      <c r="H835">
        <v>0</v>
      </c>
      <c r="I835">
        <v>0</v>
      </c>
    </row>
    <row r="836" spans="1:9">
      <c r="A836" t="s">
        <v>854</v>
      </c>
      <c r="B836" t="s">
        <v>8</v>
      </c>
      <c r="C836" t="str">
        <f t="shared" si="26"/>
        <v>A</v>
      </c>
      <c r="D836" t="s">
        <v>13</v>
      </c>
      <c r="E836" t="s">
        <v>10</v>
      </c>
      <c r="F836" t="str">
        <f t="shared" si="27"/>
        <v>Mobile</v>
      </c>
      <c r="G836">
        <v>4</v>
      </c>
      <c r="H836">
        <v>0</v>
      </c>
      <c r="I836">
        <v>0</v>
      </c>
    </row>
    <row r="837" spans="1:9">
      <c r="A837" t="s">
        <v>855</v>
      </c>
      <c r="B837" t="s">
        <v>8</v>
      </c>
      <c r="C837" t="str">
        <f t="shared" si="26"/>
        <v>A</v>
      </c>
      <c r="D837" t="s">
        <v>20</v>
      </c>
      <c r="E837" t="s">
        <v>10</v>
      </c>
      <c r="F837" t="str">
        <f t="shared" si="27"/>
        <v>Mobile</v>
      </c>
      <c r="G837">
        <v>3</v>
      </c>
      <c r="H837">
        <v>0</v>
      </c>
      <c r="I837">
        <v>0</v>
      </c>
    </row>
    <row r="838" spans="1:9">
      <c r="A838" t="s">
        <v>856</v>
      </c>
      <c r="B838" t="s">
        <v>29</v>
      </c>
      <c r="C838" t="str">
        <f t="shared" si="26"/>
        <v>B</v>
      </c>
      <c r="D838" t="s">
        <v>20</v>
      </c>
      <c r="E838" t="s">
        <v>23</v>
      </c>
      <c r="F838" t="str">
        <f t="shared" si="27"/>
        <v>Desktop</v>
      </c>
      <c r="G838">
        <v>3</v>
      </c>
      <c r="H838">
        <v>0</v>
      </c>
      <c r="I838">
        <v>0</v>
      </c>
    </row>
    <row r="839" spans="1:9">
      <c r="A839" t="s">
        <v>857</v>
      </c>
      <c r="B839" t="s">
        <v>15</v>
      </c>
      <c r="C839" t="str">
        <f t="shared" si="26"/>
        <v>B</v>
      </c>
      <c r="D839" t="s">
        <v>20</v>
      </c>
      <c r="E839" t="s">
        <v>10</v>
      </c>
      <c r="F839" t="str">
        <f t="shared" si="27"/>
        <v>Mobile</v>
      </c>
      <c r="G839">
        <v>7</v>
      </c>
      <c r="H839">
        <v>0</v>
      </c>
      <c r="I839">
        <v>0</v>
      </c>
    </row>
    <row r="840" spans="1:9">
      <c r="A840" t="s">
        <v>858</v>
      </c>
      <c r="B840" t="s">
        <v>15</v>
      </c>
      <c r="C840" t="str">
        <f t="shared" si="26"/>
        <v>B</v>
      </c>
      <c r="D840" t="s">
        <v>20</v>
      </c>
      <c r="E840" t="s">
        <v>10</v>
      </c>
      <c r="F840" t="str">
        <f t="shared" si="27"/>
        <v>Mobile</v>
      </c>
      <c r="G840">
        <v>2</v>
      </c>
      <c r="H840">
        <v>0</v>
      </c>
      <c r="I840">
        <v>0</v>
      </c>
    </row>
    <row r="841" spans="1:9">
      <c r="A841" t="s">
        <v>859</v>
      </c>
      <c r="B841" t="s">
        <v>8</v>
      </c>
      <c r="C841" t="str">
        <f t="shared" si="26"/>
        <v>A</v>
      </c>
      <c r="D841" t="s">
        <v>20</v>
      </c>
      <c r="E841" t="s">
        <v>10</v>
      </c>
      <c r="F841" t="str">
        <f t="shared" si="27"/>
        <v>Mobile</v>
      </c>
      <c r="G841">
        <v>9</v>
      </c>
      <c r="H841">
        <v>0</v>
      </c>
      <c r="I841">
        <v>0</v>
      </c>
    </row>
    <row r="842" spans="1:9">
      <c r="A842" t="s">
        <v>860</v>
      </c>
      <c r="B842" t="s">
        <v>15</v>
      </c>
      <c r="C842" t="str">
        <f t="shared" si="26"/>
        <v>B</v>
      </c>
      <c r="D842" t="s">
        <v>13</v>
      </c>
      <c r="E842" t="s">
        <v>33</v>
      </c>
      <c r="F842" t="str">
        <f t="shared" si="27"/>
        <v>Desktop</v>
      </c>
      <c r="G842">
        <v>6</v>
      </c>
      <c r="H842">
        <v>0</v>
      </c>
      <c r="I842">
        <v>0</v>
      </c>
    </row>
    <row r="843" spans="1:9">
      <c r="A843" t="s">
        <v>861</v>
      </c>
      <c r="B843" t="s">
        <v>8</v>
      </c>
      <c r="C843" t="str">
        <f t="shared" si="26"/>
        <v>A</v>
      </c>
      <c r="D843" t="s">
        <v>9</v>
      </c>
      <c r="E843" t="s">
        <v>16</v>
      </c>
      <c r="F843" t="str">
        <f t="shared" si="27"/>
        <v>Mobile</v>
      </c>
      <c r="G843">
        <v>9</v>
      </c>
      <c r="H843">
        <v>0</v>
      </c>
      <c r="I843">
        <v>0</v>
      </c>
    </row>
    <row r="844" spans="1:9">
      <c r="A844" t="s">
        <v>862</v>
      </c>
      <c r="B844" t="s">
        <v>15</v>
      </c>
      <c r="C844" t="str">
        <f t="shared" si="26"/>
        <v>B</v>
      </c>
      <c r="D844" t="s">
        <v>13</v>
      </c>
      <c r="E844" t="s">
        <v>16</v>
      </c>
      <c r="F844" t="str">
        <f t="shared" si="27"/>
        <v>Mobile</v>
      </c>
      <c r="G844">
        <v>10</v>
      </c>
      <c r="H844">
        <v>0</v>
      </c>
      <c r="I844">
        <v>0</v>
      </c>
    </row>
    <row r="845" spans="1:9">
      <c r="A845" t="s">
        <v>863</v>
      </c>
      <c r="B845" t="s">
        <v>8</v>
      </c>
      <c r="C845" t="str">
        <f t="shared" si="26"/>
        <v>A</v>
      </c>
      <c r="D845" t="s">
        <v>20</v>
      </c>
      <c r="E845" t="s">
        <v>10</v>
      </c>
      <c r="F845" t="str">
        <f t="shared" si="27"/>
        <v>Mobile</v>
      </c>
      <c r="G845">
        <v>4</v>
      </c>
      <c r="H845">
        <v>0</v>
      </c>
      <c r="I845">
        <v>0</v>
      </c>
    </row>
    <row r="846" spans="1:9">
      <c r="A846" t="s">
        <v>864</v>
      </c>
      <c r="B846" t="s">
        <v>8</v>
      </c>
      <c r="C846" t="str">
        <f t="shared" si="26"/>
        <v>A</v>
      </c>
      <c r="D846" t="s">
        <v>20</v>
      </c>
      <c r="E846" t="s">
        <v>23</v>
      </c>
      <c r="F846" t="str">
        <f t="shared" si="27"/>
        <v>Desktop</v>
      </c>
      <c r="G846">
        <v>5</v>
      </c>
      <c r="H846">
        <v>0</v>
      </c>
      <c r="I846">
        <v>0</v>
      </c>
    </row>
    <row r="847" spans="1:9">
      <c r="A847" t="s">
        <v>865</v>
      </c>
      <c r="B847" t="s">
        <v>8</v>
      </c>
      <c r="C847" t="str">
        <f t="shared" si="26"/>
        <v>A</v>
      </c>
      <c r="D847" t="s">
        <v>13</v>
      </c>
      <c r="E847" t="s">
        <v>10</v>
      </c>
      <c r="F847" t="str">
        <f t="shared" si="27"/>
        <v>Mobile</v>
      </c>
      <c r="G847">
        <v>7</v>
      </c>
      <c r="H847">
        <v>0</v>
      </c>
      <c r="I847">
        <v>0</v>
      </c>
    </row>
    <row r="848" spans="1:9">
      <c r="A848" t="s">
        <v>866</v>
      </c>
      <c r="B848" t="s">
        <v>15</v>
      </c>
      <c r="C848" t="str">
        <f t="shared" si="26"/>
        <v>B</v>
      </c>
      <c r="D848" t="s">
        <v>20</v>
      </c>
      <c r="E848" t="s">
        <v>10</v>
      </c>
      <c r="F848" t="str">
        <f t="shared" si="27"/>
        <v>Mobile</v>
      </c>
      <c r="G848">
        <v>4</v>
      </c>
      <c r="H848">
        <v>0</v>
      </c>
      <c r="I848">
        <v>0</v>
      </c>
    </row>
    <row r="849" spans="1:9">
      <c r="A849" t="s">
        <v>867</v>
      </c>
      <c r="B849" t="s">
        <v>15</v>
      </c>
      <c r="C849" t="str">
        <f t="shared" si="26"/>
        <v>B</v>
      </c>
      <c r="D849" t="s">
        <v>9</v>
      </c>
      <c r="E849" t="s">
        <v>10</v>
      </c>
      <c r="F849" t="str">
        <f t="shared" si="27"/>
        <v>Mobile</v>
      </c>
      <c r="G849">
        <v>5</v>
      </c>
      <c r="H849">
        <v>1</v>
      </c>
      <c r="I849">
        <v>5666.91</v>
      </c>
    </row>
    <row r="850" spans="1:9">
      <c r="A850" t="s">
        <v>868</v>
      </c>
      <c r="B850" t="s">
        <v>8</v>
      </c>
      <c r="C850" t="str">
        <f t="shared" si="26"/>
        <v>A</v>
      </c>
      <c r="D850" t="s">
        <v>13</v>
      </c>
      <c r="E850" t="s">
        <v>23</v>
      </c>
      <c r="F850" t="str">
        <f t="shared" si="27"/>
        <v>Desktop</v>
      </c>
      <c r="G850">
        <v>7</v>
      </c>
      <c r="H850">
        <v>0</v>
      </c>
      <c r="I850">
        <v>0</v>
      </c>
    </row>
    <row r="851" spans="1:9">
      <c r="A851" t="s">
        <v>869</v>
      </c>
      <c r="B851" t="s">
        <v>15</v>
      </c>
      <c r="C851" t="str">
        <f t="shared" si="26"/>
        <v>B</v>
      </c>
      <c r="D851" t="s">
        <v>9</v>
      </c>
      <c r="E851" t="s">
        <v>10</v>
      </c>
      <c r="F851" t="str">
        <f t="shared" si="27"/>
        <v>Mobile</v>
      </c>
      <c r="G851">
        <v>7</v>
      </c>
      <c r="H851">
        <v>1</v>
      </c>
      <c r="I851">
        <v>3723.09</v>
      </c>
    </row>
    <row r="852" spans="1:9">
      <c r="A852" t="s">
        <v>870</v>
      </c>
      <c r="B852" t="s">
        <v>8</v>
      </c>
      <c r="C852" t="str">
        <f t="shared" si="26"/>
        <v>A</v>
      </c>
      <c r="D852" t="s">
        <v>20</v>
      </c>
      <c r="E852" t="s">
        <v>10</v>
      </c>
      <c r="F852" t="str">
        <f t="shared" si="27"/>
        <v>Mobile</v>
      </c>
      <c r="G852">
        <v>5</v>
      </c>
      <c r="H852">
        <v>0</v>
      </c>
      <c r="I852">
        <v>0</v>
      </c>
    </row>
    <row r="853" spans="1:9">
      <c r="A853" t="s">
        <v>871</v>
      </c>
      <c r="B853" t="s">
        <v>15</v>
      </c>
      <c r="C853" t="str">
        <f t="shared" si="26"/>
        <v>B</v>
      </c>
      <c r="D853" t="s">
        <v>13</v>
      </c>
      <c r="E853" t="s">
        <v>10</v>
      </c>
      <c r="F853" t="str">
        <f t="shared" si="27"/>
        <v>Mobile</v>
      </c>
      <c r="G853">
        <v>10</v>
      </c>
      <c r="H853">
        <v>0</v>
      </c>
      <c r="I853">
        <v>0</v>
      </c>
    </row>
    <row r="854" spans="1:9">
      <c r="A854" t="s">
        <v>872</v>
      </c>
      <c r="B854" t="s">
        <v>8</v>
      </c>
      <c r="C854" t="str">
        <f t="shared" si="26"/>
        <v>A</v>
      </c>
      <c r="D854" t="s">
        <v>20</v>
      </c>
      <c r="E854" t="s">
        <v>10</v>
      </c>
      <c r="F854" t="str">
        <f t="shared" si="27"/>
        <v>Mobile</v>
      </c>
      <c r="G854">
        <v>6</v>
      </c>
      <c r="H854">
        <v>0</v>
      </c>
      <c r="I854">
        <v>0</v>
      </c>
    </row>
    <row r="855" spans="1:9">
      <c r="A855" t="s">
        <v>873</v>
      </c>
      <c r="B855" t="s">
        <v>8</v>
      </c>
      <c r="C855" t="str">
        <f t="shared" si="26"/>
        <v>A</v>
      </c>
      <c r="D855" t="s">
        <v>18</v>
      </c>
      <c r="E855" t="s">
        <v>23</v>
      </c>
      <c r="F855" t="str">
        <f t="shared" si="27"/>
        <v>Desktop</v>
      </c>
      <c r="G855">
        <v>7</v>
      </c>
      <c r="H855">
        <v>1</v>
      </c>
      <c r="I855">
        <v>1192.3599999999999</v>
      </c>
    </row>
    <row r="856" spans="1:9">
      <c r="A856" t="s">
        <v>874</v>
      </c>
      <c r="B856" t="s">
        <v>15</v>
      </c>
      <c r="C856" t="str">
        <f t="shared" si="26"/>
        <v>B</v>
      </c>
      <c r="D856" t="s">
        <v>13</v>
      </c>
      <c r="E856" t="s">
        <v>10</v>
      </c>
      <c r="F856" t="str">
        <f t="shared" si="27"/>
        <v>Mobile</v>
      </c>
      <c r="G856">
        <v>6</v>
      </c>
      <c r="H856">
        <v>1</v>
      </c>
      <c r="I856">
        <v>2605.79</v>
      </c>
    </row>
    <row r="857" spans="1:9">
      <c r="A857" t="s">
        <v>875</v>
      </c>
      <c r="B857" t="s">
        <v>8</v>
      </c>
      <c r="C857" t="str">
        <f t="shared" si="26"/>
        <v>A</v>
      </c>
      <c r="D857" t="s">
        <v>20</v>
      </c>
      <c r="E857" t="s">
        <v>23</v>
      </c>
      <c r="F857" t="str">
        <f t="shared" si="27"/>
        <v>Desktop</v>
      </c>
      <c r="G857">
        <v>7</v>
      </c>
      <c r="H857">
        <v>0</v>
      </c>
      <c r="I857">
        <v>0</v>
      </c>
    </row>
    <row r="858" spans="1:9">
      <c r="A858" t="s">
        <v>876</v>
      </c>
      <c r="B858" t="s">
        <v>8</v>
      </c>
      <c r="C858" t="str">
        <f t="shared" si="26"/>
        <v>A</v>
      </c>
      <c r="D858" t="s">
        <v>20</v>
      </c>
      <c r="E858" t="s">
        <v>10</v>
      </c>
      <c r="F858" t="str">
        <f t="shared" si="27"/>
        <v>Mobile</v>
      </c>
      <c r="G858">
        <v>8</v>
      </c>
      <c r="H858">
        <v>0</v>
      </c>
      <c r="I858">
        <v>0</v>
      </c>
    </row>
    <row r="859" spans="1:9">
      <c r="A859" t="s">
        <v>877</v>
      </c>
      <c r="B859" t="s">
        <v>15</v>
      </c>
      <c r="C859" t="str">
        <f t="shared" si="26"/>
        <v>B</v>
      </c>
      <c r="D859" t="s">
        <v>20</v>
      </c>
      <c r="E859" t="s">
        <v>23</v>
      </c>
      <c r="F859" t="str">
        <f t="shared" si="27"/>
        <v>Desktop</v>
      </c>
      <c r="G859">
        <v>5</v>
      </c>
      <c r="H859">
        <v>1</v>
      </c>
      <c r="I859">
        <v>1154.3699999999999</v>
      </c>
    </row>
    <row r="860" spans="1:9">
      <c r="A860" t="s">
        <v>878</v>
      </c>
      <c r="B860" t="s">
        <v>12</v>
      </c>
      <c r="C860" t="str">
        <f t="shared" si="26"/>
        <v>A</v>
      </c>
      <c r="D860" t="s">
        <v>13</v>
      </c>
      <c r="E860" t="s">
        <v>23</v>
      </c>
      <c r="F860" t="str">
        <f t="shared" si="27"/>
        <v>Desktop</v>
      </c>
      <c r="G860">
        <v>5</v>
      </c>
      <c r="H860">
        <v>0</v>
      </c>
      <c r="I860">
        <v>0</v>
      </c>
    </row>
    <row r="861" spans="1:9">
      <c r="A861" t="s">
        <v>879</v>
      </c>
      <c r="B861" t="s">
        <v>8</v>
      </c>
      <c r="C861" t="str">
        <f t="shared" si="26"/>
        <v>A</v>
      </c>
      <c r="D861" t="s">
        <v>20</v>
      </c>
      <c r="E861" t="s">
        <v>10</v>
      </c>
      <c r="F861" t="str">
        <f t="shared" si="27"/>
        <v>Mobile</v>
      </c>
      <c r="G861">
        <v>5</v>
      </c>
      <c r="H861">
        <v>0</v>
      </c>
      <c r="I861">
        <v>0</v>
      </c>
    </row>
    <row r="862" spans="1:9">
      <c r="A862" t="s">
        <v>880</v>
      </c>
      <c r="B862" t="s">
        <v>8</v>
      </c>
      <c r="C862" t="str">
        <f t="shared" si="26"/>
        <v>A</v>
      </c>
      <c r="D862" t="s">
        <v>13</v>
      </c>
      <c r="E862" t="s">
        <v>10</v>
      </c>
      <c r="F862" t="str">
        <f t="shared" si="27"/>
        <v>Mobile</v>
      </c>
      <c r="G862">
        <v>9</v>
      </c>
      <c r="H862">
        <v>0</v>
      </c>
      <c r="I862">
        <v>0</v>
      </c>
    </row>
    <row r="863" spans="1:9">
      <c r="A863" t="s">
        <v>881</v>
      </c>
      <c r="B863" t="s">
        <v>15</v>
      </c>
      <c r="C863" t="str">
        <f t="shared" si="26"/>
        <v>B</v>
      </c>
      <c r="D863" t="s">
        <v>20</v>
      </c>
      <c r="E863" t="s">
        <v>23</v>
      </c>
      <c r="F863" t="str">
        <f t="shared" si="27"/>
        <v>Desktop</v>
      </c>
      <c r="G863">
        <v>3</v>
      </c>
      <c r="H863">
        <v>0</v>
      </c>
      <c r="I863">
        <v>0</v>
      </c>
    </row>
    <row r="864" spans="1:9">
      <c r="A864" t="s">
        <v>882</v>
      </c>
      <c r="B864" t="s">
        <v>8</v>
      </c>
      <c r="C864" t="str">
        <f t="shared" si="26"/>
        <v>A</v>
      </c>
      <c r="D864" t="s">
        <v>13</v>
      </c>
      <c r="E864" t="s">
        <v>16</v>
      </c>
      <c r="F864" t="str">
        <f t="shared" si="27"/>
        <v>Mobile</v>
      </c>
      <c r="G864">
        <v>2</v>
      </c>
      <c r="H864">
        <v>0</v>
      </c>
      <c r="I864">
        <v>0</v>
      </c>
    </row>
    <row r="865" spans="1:9">
      <c r="A865" t="s">
        <v>883</v>
      </c>
      <c r="B865" t="s">
        <v>8</v>
      </c>
      <c r="C865" t="str">
        <f t="shared" si="26"/>
        <v>A</v>
      </c>
      <c r="D865" t="s">
        <v>9</v>
      </c>
      <c r="E865" t="s">
        <v>10</v>
      </c>
      <c r="F865" t="str">
        <f t="shared" si="27"/>
        <v>Mobile</v>
      </c>
      <c r="G865">
        <v>7</v>
      </c>
      <c r="H865">
        <v>0</v>
      </c>
      <c r="I865">
        <v>0</v>
      </c>
    </row>
    <row r="866" spans="1:9">
      <c r="A866" t="s">
        <v>884</v>
      </c>
      <c r="B866" t="s">
        <v>8</v>
      </c>
      <c r="C866" t="str">
        <f t="shared" si="26"/>
        <v>A</v>
      </c>
      <c r="D866" t="s">
        <v>9</v>
      </c>
      <c r="E866" t="s">
        <v>10</v>
      </c>
      <c r="F866" t="str">
        <f t="shared" si="27"/>
        <v>Mobile</v>
      </c>
      <c r="G866">
        <v>3</v>
      </c>
      <c r="H866">
        <v>1</v>
      </c>
      <c r="I866">
        <v>4489.26</v>
      </c>
    </row>
    <row r="867" spans="1:9">
      <c r="A867" t="s">
        <v>885</v>
      </c>
      <c r="B867" t="s">
        <v>15</v>
      </c>
      <c r="C867" t="str">
        <f t="shared" si="26"/>
        <v>B</v>
      </c>
      <c r="D867" t="s">
        <v>13</v>
      </c>
      <c r="E867" t="s">
        <v>16</v>
      </c>
      <c r="F867" t="str">
        <f t="shared" si="27"/>
        <v>Mobile</v>
      </c>
      <c r="G867">
        <v>3</v>
      </c>
      <c r="H867">
        <v>0</v>
      </c>
      <c r="I867">
        <v>0</v>
      </c>
    </row>
    <row r="868" spans="1:9">
      <c r="A868" t="s">
        <v>886</v>
      </c>
      <c r="B868" t="s">
        <v>15</v>
      </c>
      <c r="C868" t="str">
        <f t="shared" si="26"/>
        <v>B</v>
      </c>
      <c r="D868" t="s">
        <v>20</v>
      </c>
      <c r="E868" t="s">
        <v>23</v>
      </c>
      <c r="F868" t="str">
        <f t="shared" si="27"/>
        <v>Desktop</v>
      </c>
      <c r="G868">
        <v>5</v>
      </c>
      <c r="H868">
        <v>0</v>
      </c>
      <c r="I868">
        <v>0</v>
      </c>
    </row>
    <row r="869" spans="1:9">
      <c r="A869" t="s">
        <v>887</v>
      </c>
      <c r="B869" t="s">
        <v>8</v>
      </c>
      <c r="C869" t="str">
        <f t="shared" si="26"/>
        <v>A</v>
      </c>
      <c r="D869" t="s">
        <v>20</v>
      </c>
      <c r="E869" t="s">
        <v>10</v>
      </c>
      <c r="F869" t="str">
        <f t="shared" si="27"/>
        <v>Mobile</v>
      </c>
      <c r="G869">
        <v>5</v>
      </c>
      <c r="H869">
        <v>0</v>
      </c>
      <c r="I869">
        <v>0</v>
      </c>
    </row>
    <row r="870" spans="1:9">
      <c r="A870" t="s">
        <v>888</v>
      </c>
      <c r="B870" t="s">
        <v>8</v>
      </c>
      <c r="C870" t="str">
        <f t="shared" si="26"/>
        <v>A</v>
      </c>
      <c r="D870" t="s">
        <v>13</v>
      </c>
      <c r="E870" t="s">
        <v>10</v>
      </c>
      <c r="F870" t="str">
        <f t="shared" si="27"/>
        <v>Mobile</v>
      </c>
      <c r="G870">
        <v>2</v>
      </c>
      <c r="H870">
        <v>0</v>
      </c>
      <c r="I870">
        <v>0</v>
      </c>
    </row>
    <row r="871" spans="1:9">
      <c r="A871" t="s">
        <v>889</v>
      </c>
      <c r="B871" t="s">
        <v>8</v>
      </c>
      <c r="C871" t="str">
        <f t="shared" si="26"/>
        <v>A</v>
      </c>
      <c r="D871" t="s">
        <v>20</v>
      </c>
      <c r="E871" t="s">
        <v>10</v>
      </c>
      <c r="F871" t="str">
        <f t="shared" si="27"/>
        <v>Mobile</v>
      </c>
      <c r="G871">
        <v>7</v>
      </c>
      <c r="H871">
        <v>0</v>
      </c>
      <c r="I871">
        <v>0</v>
      </c>
    </row>
    <row r="872" spans="1:9">
      <c r="A872" t="s">
        <v>890</v>
      </c>
      <c r="B872" t="s">
        <v>15</v>
      </c>
      <c r="C872" t="str">
        <f t="shared" si="26"/>
        <v>B</v>
      </c>
      <c r="D872" t="s">
        <v>13</v>
      </c>
      <c r="E872" t="s">
        <v>23</v>
      </c>
      <c r="F872" t="str">
        <f t="shared" si="27"/>
        <v>Desktop</v>
      </c>
      <c r="G872">
        <v>5</v>
      </c>
      <c r="H872">
        <v>0</v>
      </c>
      <c r="I872">
        <v>0</v>
      </c>
    </row>
    <row r="873" spans="1:9">
      <c r="A873" t="s">
        <v>891</v>
      </c>
      <c r="B873" t="s">
        <v>8</v>
      </c>
      <c r="C873" t="str">
        <f t="shared" si="26"/>
        <v>A</v>
      </c>
      <c r="D873" t="s">
        <v>20</v>
      </c>
      <c r="E873" t="s">
        <v>10</v>
      </c>
      <c r="F873" t="str">
        <f t="shared" si="27"/>
        <v>Mobile</v>
      </c>
      <c r="G873">
        <v>12</v>
      </c>
      <c r="H873">
        <v>0</v>
      </c>
      <c r="I873">
        <v>0</v>
      </c>
    </row>
    <row r="874" spans="1:9">
      <c r="A874" t="s">
        <v>892</v>
      </c>
      <c r="B874" t="s">
        <v>8</v>
      </c>
      <c r="C874" t="str">
        <f t="shared" si="26"/>
        <v>A</v>
      </c>
      <c r="D874" t="s">
        <v>20</v>
      </c>
      <c r="E874" t="s">
        <v>83</v>
      </c>
      <c r="F874" t="str">
        <f t="shared" si="27"/>
        <v>Tablet</v>
      </c>
      <c r="G874">
        <v>5</v>
      </c>
      <c r="H874">
        <v>0</v>
      </c>
      <c r="I874">
        <v>0</v>
      </c>
    </row>
    <row r="875" spans="1:9">
      <c r="A875" t="s">
        <v>893</v>
      </c>
      <c r="B875" t="s">
        <v>15</v>
      </c>
      <c r="C875" t="str">
        <f t="shared" si="26"/>
        <v>B</v>
      </c>
      <c r="D875" t="s">
        <v>20</v>
      </c>
      <c r="E875" t="s">
        <v>10</v>
      </c>
      <c r="F875" t="str">
        <f t="shared" si="27"/>
        <v>Mobile</v>
      </c>
      <c r="G875">
        <v>6</v>
      </c>
      <c r="H875">
        <v>0</v>
      </c>
      <c r="I875">
        <v>0</v>
      </c>
    </row>
    <row r="876" spans="1:9">
      <c r="A876" t="s">
        <v>894</v>
      </c>
      <c r="B876" t="s">
        <v>8</v>
      </c>
      <c r="C876" t="str">
        <f t="shared" si="26"/>
        <v>A</v>
      </c>
      <c r="D876" t="s">
        <v>9</v>
      </c>
      <c r="E876" t="s">
        <v>10</v>
      </c>
      <c r="F876" t="str">
        <f t="shared" si="27"/>
        <v>Mobile</v>
      </c>
      <c r="G876">
        <v>10</v>
      </c>
      <c r="H876">
        <v>0</v>
      </c>
      <c r="I876">
        <v>0</v>
      </c>
    </row>
    <row r="877" spans="1:9">
      <c r="A877" t="s">
        <v>895</v>
      </c>
      <c r="B877" t="s">
        <v>15</v>
      </c>
      <c r="C877" t="str">
        <f t="shared" si="26"/>
        <v>B</v>
      </c>
      <c r="D877" t="s">
        <v>20</v>
      </c>
      <c r="E877" t="s">
        <v>23</v>
      </c>
      <c r="F877" t="str">
        <f t="shared" si="27"/>
        <v>Desktop</v>
      </c>
      <c r="G877">
        <v>1</v>
      </c>
      <c r="H877">
        <v>0</v>
      </c>
      <c r="I877">
        <v>0</v>
      </c>
    </row>
    <row r="878" spans="1:9">
      <c r="A878" t="s">
        <v>896</v>
      </c>
      <c r="B878" t="s">
        <v>8</v>
      </c>
      <c r="C878" t="str">
        <f t="shared" si="26"/>
        <v>A</v>
      </c>
      <c r="D878" t="s">
        <v>13</v>
      </c>
      <c r="E878" t="s">
        <v>33</v>
      </c>
      <c r="F878" t="str">
        <f t="shared" si="27"/>
        <v>Desktop</v>
      </c>
      <c r="G878">
        <v>11</v>
      </c>
      <c r="H878">
        <v>0</v>
      </c>
      <c r="I878">
        <v>0</v>
      </c>
    </row>
    <row r="879" spans="1:9">
      <c r="A879" t="s">
        <v>897</v>
      </c>
      <c r="B879" t="s">
        <v>8</v>
      </c>
      <c r="C879" t="str">
        <f t="shared" si="26"/>
        <v>A</v>
      </c>
      <c r="D879" t="s">
        <v>20</v>
      </c>
      <c r="E879" t="s">
        <v>23</v>
      </c>
      <c r="F879" t="str">
        <f t="shared" si="27"/>
        <v>Desktop</v>
      </c>
      <c r="G879">
        <v>6</v>
      </c>
      <c r="H879">
        <v>0</v>
      </c>
      <c r="I879">
        <v>0</v>
      </c>
    </row>
    <row r="880" spans="1:9">
      <c r="A880" t="s">
        <v>898</v>
      </c>
      <c r="B880" t="s">
        <v>8</v>
      </c>
      <c r="C880" t="str">
        <f t="shared" si="26"/>
        <v>A</v>
      </c>
      <c r="D880" t="s">
        <v>13</v>
      </c>
      <c r="E880" t="s">
        <v>10</v>
      </c>
      <c r="F880" t="str">
        <f t="shared" si="27"/>
        <v>Mobile</v>
      </c>
      <c r="G880">
        <v>5</v>
      </c>
      <c r="H880">
        <v>0</v>
      </c>
      <c r="I880">
        <v>0</v>
      </c>
    </row>
    <row r="881" spans="1:9">
      <c r="A881" t="s">
        <v>899</v>
      </c>
      <c r="B881" t="s">
        <v>15</v>
      </c>
      <c r="C881" t="str">
        <f t="shared" si="26"/>
        <v>B</v>
      </c>
      <c r="D881" t="s">
        <v>20</v>
      </c>
      <c r="E881" t="s">
        <v>23</v>
      </c>
      <c r="F881" t="str">
        <f t="shared" si="27"/>
        <v>Desktop</v>
      </c>
      <c r="G881">
        <v>7</v>
      </c>
      <c r="H881">
        <v>0</v>
      </c>
      <c r="I881">
        <v>0</v>
      </c>
    </row>
    <row r="882" spans="1:9">
      <c r="A882" t="s">
        <v>900</v>
      </c>
      <c r="B882" t="s">
        <v>15</v>
      </c>
      <c r="C882" t="str">
        <f t="shared" si="26"/>
        <v>B</v>
      </c>
      <c r="D882" t="s">
        <v>9</v>
      </c>
      <c r="E882" t="s">
        <v>23</v>
      </c>
      <c r="F882" t="str">
        <f t="shared" si="27"/>
        <v>Desktop</v>
      </c>
      <c r="G882">
        <v>7</v>
      </c>
      <c r="H882">
        <v>0</v>
      </c>
      <c r="I882">
        <v>0</v>
      </c>
    </row>
    <row r="883" spans="1:9">
      <c r="A883" t="s">
        <v>901</v>
      </c>
      <c r="B883" t="s">
        <v>15</v>
      </c>
      <c r="C883" t="str">
        <f t="shared" si="26"/>
        <v>B</v>
      </c>
      <c r="D883" t="s">
        <v>9</v>
      </c>
      <c r="E883" t="s">
        <v>10</v>
      </c>
      <c r="F883" t="str">
        <f t="shared" si="27"/>
        <v>Mobile</v>
      </c>
      <c r="G883">
        <v>5</v>
      </c>
      <c r="H883">
        <v>0</v>
      </c>
      <c r="I883">
        <v>0</v>
      </c>
    </row>
    <row r="884" spans="1:9">
      <c r="A884" t="s">
        <v>902</v>
      </c>
      <c r="B884" t="s">
        <v>8</v>
      </c>
      <c r="C884" t="str">
        <f t="shared" si="26"/>
        <v>A</v>
      </c>
      <c r="D884" t="s">
        <v>20</v>
      </c>
      <c r="E884" t="s">
        <v>10</v>
      </c>
      <c r="F884" t="str">
        <f t="shared" si="27"/>
        <v>Mobile</v>
      </c>
      <c r="G884">
        <v>8</v>
      </c>
      <c r="H884">
        <v>0</v>
      </c>
      <c r="I884">
        <v>0</v>
      </c>
    </row>
    <row r="885" spans="1:9">
      <c r="A885" t="s">
        <v>903</v>
      </c>
      <c r="B885" t="s">
        <v>15</v>
      </c>
      <c r="C885" t="str">
        <f t="shared" si="26"/>
        <v>B</v>
      </c>
      <c r="D885" t="s">
        <v>9</v>
      </c>
      <c r="E885" t="s">
        <v>10</v>
      </c>
      <c r="F885" t="str">
        <f t="shared" si="27"/>
        <v>Mobile</v>
      </c>
      <c r="G885">
        <v>6</v>
      </c>
      <c r="H885">
        <v>1</v>
      </c>
      <c r="I885">
        <v>6215.01</v>
      </c>
    </row>
    <row r="886" spans="1:9">
      <c r="A886" t="s">
        <v>904</v>
      </c>
      <c r="B886" t="s">
        <v>8</v>
      </c>
      <c r="C886" t="str">
        <f t="shared" si="26"/>
        <v>A</v>
      </c>
      <c r="D886" t="s">
        <v>18</v>
      </c>
      <c r="E886" t="s">
        <v>10</v>
      </c>
      <c r="F886" t="str">
        <f t="shared" si="27"/>
        <v>Mobile</v>
      </c>
      <c r="G886">
        <v>5</v>
      </c>
      <c r="H886">
        <v>0</v>
      </c>
      <c r="I886">
        <v>0</v>
      </c>
    </row>
    <row r="887" spans="1:9">
      <c r="A887" t="s">
        <v>905</v>
      </c>
      <c r="B887" t="s">
        <v>8</v>
      </c>
      <c r="C887" t="str">
        <f t="shared" si="26"/>
        <v>A</v>
      </c>
      <c r="D887" t="s">
        <v>9</v>
      </c>
      <c r="E887" t="s">
        <v>33</v>
      </c>
      <c r="F887" t="str">
        <f t="shared" si="27"/>
        <v>Desktop</v>
      </c>
      <c r="G887">
        <v>7</v>
      </c>
      <c r="H887">
        <v>1</v>
      </c>
      <c r="I887">
        <v>6413.79</v>
      </c>
    </row>
    <row r="888" spans="1:9">
      <c r="A888" t="s">
        <v>906</v>
      </c>
      <c r="B888" t="s">
        <v>15</v>
      </c>
      <c r="C888" t="str">
        <f t="shared" si="26"/>
        <v>B</v>
      </c>
      <c r="D888" t="s">
        <v>9</v>
      </c>
      <c r="E888" t="s">
        <v>10</v>
      </c>
      <c r="F888" t="str">
        <f t="shared" si="27"/>
        <v>Mobile</v>
      </c>
      <c r="G888">
        <v>3</v>
      </c>
      <c r="H888">
        <v>0</v>
      </c>
      <c r="I888">
        <v>0</v>
      </c>
    </row>
    <row r="889" spans="1:9">
      <c r="A889" t="s">
        <v>907</v>
      </c>
      <c r="B889" t="s">
        <v>8</v>
      </c>
      <c r="C889" t="str">
        <f t="shared" si="26"/>
        <v>A</v>
      </c>
      <c r="D889" t="s">
        <v>20</v>
      </c>
      <c r="E889" t="s">
        <v>33</v>
      </c>
      <c r="F889" t="str">
        <f t="shared" si="27"/>
        <v>Desktop</v>
      </c>
      <c r="G889">
        <v>6</v>
      </c>
      <c r="H889">
        <v>0</v>
      </c>
      <c r="I889">
        <v>0</v>
      </c>
    </row>
    <row r="890" spans="1:9">
      <c r="A890" t="s">
        <v>908</v>
      </c>
      <c r="B890" t="s">
        <v>8</v>
      </c>
      <c r="C890" t="str">
        <f t="shared" si="26"/>
        <v>A</v>
      </c>
      <c r="D890" t="s">
        <v>13</v>
      </c>
      <c r="E890" t="s">
        <v>23</v>
      </c>
      <c r="F890" t="str">
        <f t="shared" si="27"/>
        <v>Desktop</v>
      </c>
      <c r="G890">
        <v>5</v>
      </c>
      <c r="H890">
        <v>1</v>
      </c>
      <c r="I890">
        <v>2739.51</v>
      </c>
    </row>
    <row r="891" spans="1:9">
      <c r="A891" t="s">
        <v>909</v>
      </c>
      <c r="B891" t="s">
        <v>8</v>
      </c>
      <c r="C891" t="str">
        <f t="shared" si="26"/>
        <v>A</v>
      </c>
      <c r="D891" t="s">
        <v>20</v>
      </c>
      <c r="E891" t="s">
        <v>23</v>
      </c>
      <c r="F891" t="str">
        <f t="shared" si="27"/>
        <v>Desktop</v>
      </c>
      <c r="G891">
        <v>14</v>
      </c>
      <c r="H891">
        <v>0</v>
      </c>
      <c r="I891">
        <v>0</v>
      </c>
    </row>
    <row r="892" spans="1:9">
      <c r="A892" t="s">
        <v>910</v>
      </c>
      <c r="B892" t="s">
        <v>8</v>
      </c>
      <c r="C892" t="str">
        <f t="shared" si="26"/>
        <v>A</v>
      </c>
      <c r="D892" t="s">
        <v>20</v>
      </c>
      <c r="E892" t="s">
        <v>23</v>
      </c>
      <c r="F892" t="str">
        <f t="shared" si="27"/>
        <v>Desktop</v>
      </c>
      <c r="G892">
        <v>5</v>
      </c>
      <c r="H892">
        <v>0</v>
      </c>
      <c r="I892">
        <v>0</v>
      </c>
    </row>
    <row r="893" spans="1:9">
      <c r="A893" t="s">
        <v>911</v>
      </c>
      <c r="B893" t="s">
        <v>8</v>
      </c>
      <c r="C893" t="str">
        <f t="shared" si="26"/>
        <v>A</v>
      </c>
      <c r="D893" t="s">
        <v>18</v>
      </c>
      <c r="E893" t="s">
        <v>10</v>
      </c>
      <c r="F893" t="str">
        <f t="shared" si="27"/>
        <v>Mobile</v>
      </c>
      <c r="G893">
        <v>13</v>
      </c>
      <c r="H893">
        <v>0</v>
      </c>
      <c r="I893">
        <v>0</v>
      </c>
    </row>
    <row r="894" spans="1:9">
      <c r="A894" t="s">
        <v>912</v>
      </c>
      <c r="B894" t="s">
        <v>15</v>
      </c>
      <c r="C894" t="str">
        <f t="shared" si="26"/>
        <v>B</v>
      </c>
      <c r="D894" t="s">
        <v>20</v>
      </c>
      <c r="E894" t="s">
        <v>10</v>
      </c>
      <c r="F894" t="str">
        <f t="shared" si="27"/>
        <v>Mobile</v>
      </c>
      <c r="G894">
        <v>6</v>
      </c>
      <c r="H894">
        <v>0</v>
      </c>
      <c r="I894">
        <v>0</v>
      </c>
    </row>
    <row r="895" spans="1:9">
      <c r="A895" t="s">
        <v>913</v>
      </c>
      <c r="B895" t="s">
        <v>8</v>
      </c>
      <c r="C895" t="str">
        <f t="shared" si="26"/>
        <v>A</v>
      </c>
      <c r="D895" t="s">
        <v>13</v>
      </c>
      <c r="E895" t="s">
        <v>10</v>
      </c>
      <c r="F895" t="str">
        <f t="shared" si="27"/>
        <v>Mobile</v>
      </c>
      <c r="G895">
        <v>2</v>
      </c>
      <c r="H895">
        <v>0</v>
      </c>
      <c r="I895">
        <v>0</v>
      </c>
    </row>
    <row r="896" spans="1:9">
      <c r="A896" t="s">
        <v>914</v>
      </c>
      <c r="B896" t="s">
        <v>15</v>
      </c>
      <c r="C896" t="str">
        <f t="shared" si="26"/>
        <v>B</v>
      </c>
      <c r="D896" t="s">
        <v>9</v>
      </c>
      <c r="E896" t="s">
        <v>23</v>
      </c>
      <c r="F896" t="str">
        <f t="shared" si="27"/>
        <v>Desktop</v>
      </c>
      <c r="G896">
        <v>4</v>
      </c>
      <c r="H896">
        <v>0</v>
      </c>
      <c r="I896">
        <v>0</v>
      </c>
    </row>
    <row r="897" spans="1:9">
      <c r="A897" t="s">
        <v>915</v>
      </c>
      <c r="B897" t="s">
        <v>15</v>
      </c>
      <c r="C897" t="str">
        <f t="shared" si="26"/>
        <v>B</v>
      </c>
      <c r="D897" t="s">
        <v>9</v>
      </c>
      <c r="E897" t="s">
        <v>10</v>
      </c>
      <c r="F897" t="str">
        <f t="shared" si="27"/>
        <v>Mobile</v>
      </c>
      <c r="G897">
        <v>4</v>
      </c>
      <c r="H897">
        <v>0</v>
      </c>
      <c r="I897">
        <v>0</v>
      </c>
    </row>
    <row r="898" spans="1:9">
      <c r="A898" t="s">
        <v>916</v>
      </c>
      <c r="B898" t="s">
        <v>8</v>
      </c>
      <c r="C898" t="str">
        <f t="shared" ref="C898:C961" si="28">IF(OR(B898="control", B898="A"), "A", "B")</f>
        <v>A</v>
      </c>
      <c r="D898" t="s">
        <v>18</v>
      </c>
      <c r="E898" t="s">
        <v>23</v>
      </c>
      <c r="F898" t="str">
        <f t="shared" ref="F898:F961" si="29">PROPER(E898)</f>
        <v>Desktop</v>
      </c>
      <c r="G898">
        <v>5</v>
      </c>
      <c r="H898">
        <v>0</v>
      </c>
      <c r="I898">
        <v>0</v>
      </c>
    </row>
    <row r="899" spans="1:9">
      <c r="A899" t="s">
        <v>917</v>
      </c>
      <c r="B899" t="s">
        <v>8</v>
      </c>
      <c r="C899" t="str">
        <f t="shared" si="28"/>
        <v>A</v>
      </c>
      <c r="D899" t="s">
        <v>20</v>
      </c>
      <c r="E899" t="s">
        <v>10</v>
      </c>
      <c r="F899" t="str">
        <f t="shared" si="29"/>
        <v>Mobile</v>
      </c>
      <c r="G899">
        <v>3</v>
      </c>
      <c r="H899">
        <v>0</v>
      </c>
      <c r="I899">
        <v>0</v>
      </c>
    </row>
    <row r="900" spans="1:9">
      <c r="A900" t="s">
        <v>918</v>
      </c>
      <c r="B900" t="s">
        <v>8</v>
      </c>
      <c r="C900" t="str">
        <f t="shared" si="28"/>
        <v>A</v>
      </c>
      <c r="D900" t="s">
        <v>20</v>
      </c>
      <c r="E900" t="s">
        <v>10</v>
      </c>
      <c r="F900" t="str">
        <f t="shared" si="29"/>
        <v>Mobile</v>
      </c>
      <c r="G900">
        <v>10</v>
      </c>
      <c r="H900">
        <v>0</v>
      </c>
      <c r="I900">
        <v>0</v>
      </c>
    </row>
    <row r="901" spans="1:9">
      <c r="A901" t="s">
        <v>919</v>
      </c>
      <c r="B901" t="s">
        <v>15</v>
      </c>
      <c r="C901" t="str">
        <f t="shared" si="28"/>
        <v>B</v>
      </c>
      <c r="D901" t="s">
        <v>20</v>
      </c>
      <c r="E901" t="s">
        <v>10</v>
      </c>
      <c r="F901" t="str">
        <f t="shared" si="29"/>
        <v>Mobile</v>
      </c>
      <c r="G901">
        <v>5</v>
      </c>
      <c r="H901">
        <v>1</v>
      </c>
      <c r="I901">
        <v>947.96</v>
      </c>
    </row>
    <row r="902" spans="1:9">
      <c r="A902" t="s">
        <v>920</v>
      </c>
      <c r="B902" t="s">
        <v>8</v>
      </c>
      <c r="C902" t="str">
        <f t="shared" si="28"/>
        <v>A</v>
      </c>
      <c r="D902" t="s">
        <v>20</v>
      </c>
      <c r="E902" t="s">
        <v>33</v>
      </c>
      <c r="F902" t="str">
        <f t="shared" si="29"/>
        <v>Desktop</v>
      </c>
      <c r="G902">
        <v>4</v>
      </c>
      <c r="H902">
        <v>0</v>
      </c>
      <c r="I902">
        <v>0</v>
      </c>
    </row>
    <row r="903" spans="1:9">
      <c r="A903" t="s">
        <v>921</v>
      </c>
      <c r="B903" t="s">
        <v>15</v>
      </c>
      <c r="C903" t="str">
        <f t="shared" si="28"/>
        <v>B</v>
      </c>
      <c r="D903" t="s">
        <v>20</v>
      </c>
      <c r="E903" t="s">
        <v>23</v>
      </c>
      <c r="F903" t="str">
        <f t="shared" si="29"/>
        <v>Desktop</v>
      </c>
      <c r="G903">
        <v>6</v>
      </c>
      <c r="H903">
        <v>0</v>
      </c>
      <c r="I903">
        <v>0</v>
      </c>
    </row>
    <row r="904" spans="1:9">
      <c r="A904" t="s">
        <v>922</v>
      </c>
      <c r="B904" t="s">
        <v>8</v>
      </c>
      <c r="C904" t="str">
        <f t="shared" si="28"/>
        <v>A</v>
      </c>
      <c r="D904" t="s">
        <v>20</v>
      </c>
      <c r="E904" t="s">
        <v>10</v>
      </c>
      <c r="F904" t="str">
        <f t="shared" si="29"/>
        <v>Mobile</v>
      </c>
      <c r="G904">
        <v>8</v>
      </c>
      <c r="H904">
        <v>0</v>
      </c>
      <c r="I904">
        <v>0</v>
      </c>
    </row>
    <row r="905" spans="1:9">
      <c r="A905" t="s">
        <v>923</v>
      </c>
      <c r="B905" t="s">
        <v>15</v>
      </c>
      <c r="C905" t="str">
        <f t="shared" si="28"/>
        <v>B</v>
      </c>
      <c r="D905" t="s">
        <v>9</v>
      </c>
      <c r="E905" t="s">
        <v>10</v>
      </c>
      <c r="F905" t="str">
        <f t="shared" si="29"/>
        <v>Mobile</v>
      </c>
      <c r="G905">
        <v>6</v>
      </c>
      <c r="H905">
        <v>1</v>
      </c>
      <c r="I905">
        <v>5495.79</v>
      </c>
    </row>
    <row r="906" spans="1:9">
      <c r="A906" t="s">
        <v>924</v>
      </c>
      <c r="B906" t="s">
        <v>8</v>
      </c>
      <c r="C906" t="str">
        <f t="shared" si="28"/>
        <v>A</v>
      </c>
      <c r="D906" t="s">
        <v>13</v>
      </c>
      <c r="E906" t="s">
        <v>10</v>
      </c>
      <c r="F906" t="str">
        <f t="shared" si="29"/>
        <v>Mobile</v>
      </c>
      <c r="G906">
        <v>7</v>
      </c>
      <c r="H906">
        <v>0</v>
      </c>
      <c r="I906">
        <v>0</v>
      </c>
    </row>
    <row r="907" spans="1:9">
      <c r="A907" t="s">
        <v>925</v>
      </c>
      <c r="B907" t="s">
        <v>8</v>
      </c>
      <c r="C907" t="str">
        <f t="shared" si="28"/>
        <v>A</v>
      </c>
      <c r="D907" t="s">
        <v>20</v>
      </c>
      <c r="E907" t="s">
        <v>83</v>
      </c>
      <c r="F907" t="str">
        <f t="shared" si="29"/>
        <v>Tablet</v>
      </c>
      <c r="G907">
        <v>3</v>
      </c>
      <c r="H907">
        <v>0</v>
      </c>
      <c r="I907">
        <v>0</v>
      </c>
    </row>
    <row r="908" spans="1:9">
      <c r="A908" t="s">
        <v>926</v>
      </c>
      <c r="B908" t="s">
        <v>12</v>
      </c>
      <c r="C908" t="str">
        <f t="shared" si="28"/>
        <v>A</v>
      </c>
      <c r="D908" t="s">
        <v>13</v>
      </c>
      <c r="E908" t="s">
        <v>23</v>
      </c>
      <c r="F908" t="str">
        <f t="shared" si="29"/>
        <v>Desktop</v>
      </c>
      <c r="G908">
        <v>10</v>
      </c>
      <c r="H908">
        <v>1</v>
      </c>
      <c r="I908">
        <v>1736.72</v>
      </c>
    </row>
    <row r="909" spans="1:9">
      <c r="A909" t="s">
        <v>927</v>
      </c>
      <c r="B909" t="s">
        <v>15</v>
      </c>
      <c r="C909" t="str">
        <f t="shared" si="28"/>
        <v>B</v>
      </c>
      <c r="D909" t="s">
        <v>20</v>
      </c>
      <c r="E909" t="s">
        <v>10</v>
      </c>
      <c r="F909" t="str">
        <f t="shared" si="29"/>
        <v>Mobile</v>
      </c>
      <c r="G909">
        <v>7</v>
      </c>
      <c r="H909">
        <v>0</v>
      </c>
      <c r="I909">
        <v>0</v>
      </c>
    </row>
    <row r="910" spans="1:9">
      <c r="A910" t="s">
        <v>928</v>
      </c>
      <c r="B910" t="s">
        <v>8</v>
      </c>
      <c r="C910" t="str">
        <f t="shared" si="28"/>
        <v>A</v>
      </c>
      <c r="D910" t="s">
        <v>20</v>
      </c>
      <c r="E910" t="s">
        <v>23</v>
      </c>
      <c r="F910" t="str">
        <f t="shared" si="29"/>
        <v>Desktop</v>
      </c>
      <c r="G910">
        <v>10</v>
      </c>
      <c r="H910">
        <v>0</v>
      </c>
      <c r="I910">
        <v>0</v>
      </c>
    </row>
    <row r="911" spans="1:9">
      <c r="A911" t="s">
        <v>929</v>
      </c>
      <c r="B911" t="s">
        <v>15</v>
      </c>
      <c r="C911" t="str">
        <f t="shared" si="28"/>
        <v>B</v>
      </c>
      <c r="D911" t="s">
        <v>13</v>
      </c>
      <c r="E911" t="s">
        <v>10</v>
      </c>
      <c r="F911" t="str">
        <f t="shared" si="29"/>
        <v>Mobile</v>
      </c>
      <c r="G911">
        <v>3</v>
      </c>
      <c r="H911">
        <v>0</v>
      </c>
      <c r="I911">
        <v>0</v>
      </c>
    </row>
    <row r="912" spans="1:9">
      <c r="A912" t="s">
        <v>930</v>
      </c>
      <c r="B912" t="s">
        <v>15</v>
      </c>
      <c r="C912" t="str">
        <f t="shared" si="28"/>
        <v>B</v>
      </c>
      <c r="D912" t="s">
        <v>13</v>
      </c>
      <c r="E912" t="s">
        <v>33</v>
      </c>
      <c r="F912" t="str">
        <f t="shared" si="29"/>
        <v>Desktop</v>
      </c>
      <c r="G912">
        <v>3</v>
      </c>
      <c r="H912">
        <v>0</v>
      </c>
      <c r="I912">
        <v>0</v>
      </c>
    </row>
    <row r="913" spans="1:9">
      <c r="A913" t="s">
        <v>931</v>
      </c>
      <c r="B913" t="s">
        <v>15</v>
      </c>
      <c r="C913" t="str">
        <f t="shared" si="28"/>
        <v>B</v>
      </c>
      <c r="D913" t="s">
        <v>13</v>
      </c>
      <c r="E913" t="s">
        <v>10</v>
      </c>
      <c r="F913" t="str">
        <f t="shared" si="29"/>
        <v>Mobile</v>
      </c>
      <c r="G913">
        <v>5</v>
      </c>
      <c r="H913">
        <v>0</v>
      </c>
      <c r="I913">
        <v>0</v>
      </c>
    </row>
    <row r="914" spans="1:9">
      <c r="A914" t="s">
        <v>932</v>
      </c>
      <c r="B914" t="s">
        <v>15</v>
      </c>
      <c r="C914" t="str">
        <f t="shared" si="28"/>
        <v>B</v>
      </c>
      <c r="D914" t="s">
        <v>20</v>
      </c>
      <c r="E914" t="s">
        <v>23</v>
      </c>
      <c r="F914" t="str">
        <f t="shared" si="29"/>
        <v>Desktop</v>
      </c>
      <c r="G914">
        <v>8</v>
      </c>
      <c r="H914">
        <v>0</v>
      </c>
      <c r="I914">
        <v>0</v>
      </c>
    </row>
    <row r="915" spans="1:9">
      <c r="A915" t="s">
        <v>933</v>
      </c>
      <c r="B915" t="s">
        <v>8</v>
      </c>
      <c r="C915" t="str">
        <f t="shared" si="28"/>
        <v>A</v>
      </c>
      <c r="D915" t="s">
        <v>9</v>
      </c>
      <c r="E915" t="s">
        <v>10</v>
      </c>
      <c r="F915" t="str">
        <f t="shared" si="29"/>
        <v>Mobile</v>
      </c>
      <c r="G915">
        <v>4</v>
      </c>
      <c r="H915">
        <v>0</v>
      </c>
      <c r="I915">
        <v>0</v>
      </c>
    </row>
    <row r="916" spans="1:9">
      <c r="A916" t="s">
        <v>934</v>
      </c>
      <c r="B916" t="s">
        <v>8</v>
      </c>
      <c r="C916" t="str">
        <f t="shared" si="28"/>
        <v>A</v>
      </c>
      <c r="D916" t="s">
        <v>13</v>
      </c>
      <c r="E916" t="s">
        <v>23</v>
      </c>
      <c r="F916" t="str">
        <f t="shared" si="29"/>
        <v>Desktop</v>
      </c>
      <c r="G916">
        <v>11</v>
      </c>
      <c r="H916">
        <v>0</v>
      </c>
      <c r="I916">
        <v>0</v>
      </c>
    </row>
    <row r="917" spans="1:9">
      <c r="A917" t="s">
        <v>935</v>
      </c>
      <c r="B917" t="s">
        <v>8</v>
      </c>
      <c r="C917" t="str">
        <f t="shared" si="28"/>
        <v>A</v>
      </c>
      <c r="D917" t="s">
        <v>13</v>
      </c>
      <c r="E917" t="s">
        <v>23</v>
      </c>
      <c r="F917" t="str">
        <f t="shared" si="29"/>
        <v>Desktop</v>
      </c>
      <c r="G917">
        <v>4</v>
      </c>
      <c r="H917">
        <v>0</v>
      </c>
      <c r="I917">
        <v>0</v>
      </c>
    </row>
    <row r="918" spans="1:9">
      <c r="A918" t="s">
        <v>936</v>
      </c>
      <c r="B918" t="s">
        <v>15</v>
      </c>
      <c r="C918" t="str">
        <f t="shared" si="28"/>
        <v>B</v>
      </c>
      <c r="D918" t="s">
        <v>13</v>
      </c>
      <c r="E918" t="s">
        <v>23</v>
      </c>
      <c r="F918" t="str">
        <f t="shared" si="29"/>
        <v>Desktop</v>
      </c>
      <c r="G918">
        <v>11</v>
      </c>
      <c r="H918">
        <v>0</v>
      </c>
      <c r="I918">
        <v>0</v>
      </c>
    </row>
    <row r="919" spans="1:9">
      <c r="A919" t="s">
        <v>937</v>
      </c>
      <c r="B919" t="s">
        <v>15</v>
      </c>
      <c r="C919" t="str">
        <f t="shared" si="28"/>
        <v>B</v>
      </c>
      <c r="D919" t="s">
        <v>9</v>
      </c>
      <c r="E919" t="s">
        <v>23</v>
      </c>
      <c r="F919" t="str">
        <f t="shared" si="29"/>
        <v>Desktop</v>
      </c>
      <c r="G919">
        <v>2</v>
      </c>
      <c r="H919">
        <v>0</v>
      </c>
      <c r="I919">
        <v>0</v>
      </c>
    </row>
    <row r="920" spans="1:9">
      <c r="A920" t="s">
        <v>938</v>
      </c>
      <c r="B920" t="s">
        <v>8</v>
      </c>
      <c r="C920" t="str">
        <f t="shared" si="28"/>
        <v>A</v>
      </c>
      <c r="D920" t="s">
        <v>13</v>
      </c>
      <c r="E920" t="s">
        <v>16</v>
      </c>
      <c r="F920" t="str">
        <f t="shared" si="29"/>
        <v>Mobile</v>
      </c>
      <c r="G920">
        <v>4</v>
      </c>
      <c r="H920">
        <v>0</v>
      </c>
      <c r="I920">
        <v>0</v>
      </c>
    </row>
    <row r="921" spans="1:9">
      <c r="A921" t="s">
        <v>939</v>
      </c>
      <c r="B921" t="s">
        <v>8</v>
      </c>
      <c r="C921" t="str">
        <f t="shared" si="28"/>
        <v>A</v>
      </c>
      <c r="D921" t="s">
        <v>13</v>
      </c>
      <c r="E921" t="s">
        <v>10</v>
      </c>
      <c r="F921" t="str">
        <f t="shared" si="29"/>
        <v>Mobile</v>
      </c>
      <c r="G921">
        <v>3</v>
      </c>
      <c r="H921">
        <v>0</v>
      </c>
      <c r="I921">
        <v>0</v>
      </c>
    </row>
    <row r="922" spans="1:9">
      <c r="A922" t="s">
        <v>940</v>
      </c>
      <c r="B922" t="s">
        <v>15</v>
      </c>
      <c r="C922" t="str">
        <f t="shared" si="28"/>
        <v>B</v>
      </c>
      <c r="D922" t="s">
        <v>18</v>
      </c>
      <c r="E922" t="s">
        <v>10</v>
      </c>
      <c r="F922" t="str">
        <f t="shared" si="29"/>
        <v>Mobile</v>
      </c>
      <c r="G922">
        <v>2</v>
      </c>
      <c r="H922">
        <v>0</v>
      </c>
      <c r="I922">
        <v>0</v>
      </c>
    </row>
    <row r="923" spans="1:9">
      <c r="A923" t="s">
        <v>941</v>
      </c>
      <c r="B923" t="s">
        <v>29</v>
      </c>
      <c r="C923" t="str">
        <f t="shared" si="28"/>
        <v>B</v>
      </c>
      <c r="D923" t="s">
        <v>13</v>
      </c>
      <c r="E923" t="s">
        <v>10</v>
      </c>
      <c r="F923" t="str">
        <f t="shared" si="29"/>
        <v>Mobile</v>
      </c>
      <c r="G923">
        <v>8</v>
      </c>
      <c r="H923">
        <v>0</v>
      </c>
      <c r="I923">
        <v>0</v>
      </c>
    </row>
    <row r="924" spans="1:9">
      <c r="A924" t="s">
        <v>942</v>
      </c>
      <c r="B924" t="s">
        <v>15</v>
      </c>
      <c r="C924" t="str">
        <f t="shared" si="28"/>
        <v>B</v>
      </c>
      <c r="D924" t="s">
        <v>13</v>
      </c>
      <c r="E924" t="s">
        <v>83</v>
      </c>
      <c r="F924" t="str">
        <f t="shared" si="29"/>
        <v>Tablet</v>
      </c>
      <c r="G924">
        <v>3</v>
      </c>
      <c r="H924">
        <v>1</v>
      </c>
      <c r="I924">
        <v>2083.0700000000002</v>
      </c>
    </row>
    <row r="925" spans="1:9">
      <c r="A925" t="s">
        <v>943</v>
      </c>
      <c r="B925" t="s">
        <v>8</v>
      </c>
      <c r="C925" t="str">
        <f t="shared" si="28"/>
        <v>A</v>
      </c>
      <c r="D925" t="s">
        <v>13</v>
      </c>
      <c r="E925" t="s">
        <v>10</v>
      </c>
      <c r="F925" t="str">
        <f t="shared" si="29"/>
        <v>Mobile</v>
      </c>
      <c r="G925">
        <v>11</v>
      </c>
      <c r="H925">
        <v>1</v>
      </c>
      <c r="I925">
        <v>2650.7</v>
      </c>
    </row>
    <row r="926" spans="1:9">
      <c r="A926" t="s">
        <v>944</v>
      </c>
      <c r="B926" t="s">
        <v>8</v>
      </c>
      <c r="C926" t="str">
        <f t="shared" si="28"/>
        <v>A</v>
      </c>
      <c r="D926" t="s">
        <v>20</v>
      </c>
      <c r="E926" t="s">
        <v>23</v>
      </c>
      <c r="F926" t="str">
        <f t="shared" si="29"/>
        <v>Desktop</v>
      </c>
      <c r="G926">
        <v>4</v>
      </c>
      <c r="H926">
        <v>0</v>
      </c>
      <c r="I926">
        <v>0</v>
      </c>
    </row>
    <row r="927" spans="1:9">
      <c r="A927" t="s">
        <v>945</v>
      </c>
      <c r="B927" t="s">
        <v>8</v>
      </c>
      <c r="C927" t="str">
        <f t="shared" si="28"/>
        <v>A</v>
      </c>
      <c r="D927" t="s">
        <v>20</v>
      </c>
      <c r="E927" t="s">
        <v>23</v>
      </c>
      <c r="F927" t="str">
        <f t="shared" si="29"/>
        <v>Desktop</v>
      </c>
      <c r="G927">
        <v>6</v>
      </c>
      <c r="H927">
        <v>0</v>
      </c>
      <c r="I927">
        <v>0</v>
      </c>
    </row>
    <row r="928" spans="1:9">
      <c r="A928" t="s">
        <v>946</v>
      </c>
      <c r="B928" t="s">
        <v>15</v>
      </c>
      <c r="C928" t="str">
        <f t="shared" si="28"/>
        <v>B</v>
      </c>
      <c r="D928" t="s">
        <v>13</v>
      </c>
      <c r="E928" t="s">
        <v>10</v>
      </c>
      <c r="F928" t="str">
        <f t="shared" si="29"/>
        <v>Mobile</v>
      </c>
      <c r="G928">
        <v>3</v>
      </c>
      <c r="H928">
        <v>0</v>
      </c>
      <c r="I928">
        <v>0</v>
      </c>
    </row>
    <row r="929" spans="1:9">
      <c r="A929" t="s">
        <v>947</v>
      </c>
      <c r="B929" t="s">
        <v>8</v>
      </c>
      <c r="C929" t="str">
        <f t="shared" si="28"/>
        <v>A</v>
      </c>
      <c r="D929" t="s">
        <v>18</v>
      </c>
      <c r="E929" t="s">
        <v>10</v>
      </c>
      <c r="F929" t="str">
        <f t="shared" si="29"/>
        <v>Mobile</v>
      </c>
      <c r="G929">
        <v>7</v>
      </c>
      <c r="H929">
        <v>0</v>
      </c>
      <c r="I929">
        <v>0</v>
      </c>
    </row>
    <row r="930" spans="1:9">
      <c r="A930" t="s">
        <v>948</v>
      </c>
      <c r="B930" t="s">
        <v>15</v>
      </c>
      <c r="C930" t="str">
        <f t="shared" si="28"/>
        <v>B</v>
      </c>
      <c r="D930" t="s">
        <v>18</v>
      </c>
      <c r="E930" t="s">
        <v>10</v>
      </c>
      <c r="F930" t="str">
        <f t="shared" si="29"/>
        <v>Mobile</v>
      </c>
      <c r="G930">
        <v>3</v>
      </c>
      <c r="H930">
        <v>1</v>
      </c>
      <c r="I930">
        <v>1653.64</v>
      </c>
    </row>
    <row r="931" spans="1:9">
      <c r="A931" t="s">
        <v>949</v>
      </c>
      <c r="B931" t="s">
        <v>8</v>
      </c>
      <c r="C931" t="str">
        <f t="shared" si="28"/>
        <v>A</v>
      </c>
      <c r="D931" t="s">
        <v>20</v>
      </c>
      <c r="E931" t="s">
        <v>10</v>
      </c>
      <c r="F931" t="str">
        <f t="shared" si="29"/>
        <v>Mobile</v>
      </c>
      <c r="G931">
        <v>3</v>
      </c>
      <c r="H931">
        <v>0</v>
      </c>
      <c r="I931">
        <v>0</v>
      </c>
    </row>
    <row r="932" spans="1:9">
      <c r="A932" t="s">
        <v>950</v>
      </c>
      <c r="B932" t="s">
        <v>15</v>
      </c>
      <c r="C932" t="str">
        <f t="shared" si="28"/>
        <v>B</v>
      </c>
      <c r="D932" t="s">
        <v>13</v>
      </c>
      <c r="E932" t="s">
        <v>10</v>
      </c>
      <c r="F932" t="str">
        <f t="shared" si="29"/>
        <v>Mobile</v>
      </c>
      <c r="G932">
        <v>5</v>
      </c>
      <c r="H932">
        <v>0</v>
      </c>
      <c r="I932">
        <v>0</v>
      </c>
    </row>
    <row r="933" spans="1:9">
      <c r="A933" t="s">
        <v>951</v>
      </c>
      <c r="B933" t="s">
        <v>15</v>
      </c>
      <c r="C933" t="str">
        <f t="shared" si="28"/>
        <v>B</v>
      </c>
      <c r="D933" t="s">
        <v>20</v>
      </c>
      <c r="E933" t="s">
        <v>10</v>
      </c>
      <c r="F933" t="str">
        <f t="shared" si="29"/>
        <v>Mobile</v>
      </c>
      <c r="G933">
        <v>13</v>
      </c>
      <c r="H933">
        <v>0</v>
      </c>
      <c r="I933">
        <v>0</v>
      </c>
    </row>
    <row r="934" spans="1:9">
      <c r="A934" t="s">
        <v>952</v>
      </c>
      <c r="B934" t="s">
        <v>15</v>
      </c>
      <c r="C934" t="str">
        <f t="shared" si="28"/>
        <v>B</v>
      </c>
      <c r="D934" t="s">
        <v>18</v>
      </c>
      <c r="E934" t="s">
        <v>16</v>
      </c>
      <c r="F934" t="str">
        <f t="shared" si="29"/>
        <v>Mobile</v>
      </c>
      <c r="G934">
        <v>6</v>
      </c>
      <c r="H934">
        <v>0</v>
      </c>
      <c r="I934">
        <v>0</v>
      </c>
    </row>
    <row r="935" spans="1:9">
      <c r="A935" t="s">
        <v>953</v>
      </c>
      <c r="B935" t="s">
        <v>8</v>
      </c>
      <c r="C935" t="str">
        <f t="shared" si="28"/>
        <v>A</v>
      </c>
      <c r="D935" t="s">
        <v>18</v>
      </c>
      <c r="E935" t="s">
        <v>33</v>
      </c>
      <c r="F935" t="str">
        <f t="shared" si="29"/>
        <v>Desktop</v>
      </c>
      <c r="G935">
        <v>5</v>
      </c>
      <c r="H935">
        <v>0</v>
      </c>
      <c r="I935">
        <v>0</v>
      </c>
    </row>
    <row r="936" spans="1:9">
      <c r="A936" t="s">
        <v>954</v>
      </c>
      <c r="B936" t="s">
        <v>8</v>
      </c>
      <c r="C936" t="str">
        <f t="shared" si="28"/>
        <v>A</v>
      </c>
      <c r="D936" t="s">
        <v>13</v>
      </c>
      <c r="E936" t="s">
        <v>10</v>
      </c>
      <c r="F936" t="str">
        <f t="shared" si="29"/>
        <v>Mobile</v>
      </c>
      <c r="G936">
        <v>7</v>
      </c>
      <c r="H936">
        <v>0</v>
      </c>
      <c r="I936">
        <v>0</v>
      </c>
    </row>
    <row r="937" spans="1:9">
      <c r="A937" t="s">
        <v>955</v>
      </c>
      <c r="B937" t="s">
        <v>8</v>
      </c>
      <c r="C937" t="str">
        <f t="shared" si="28"/>
        <v>A</v>
      </c>
      <c r="D937" t="s">
        <v>9</v>
      </c>
      <c r="E937" t="s">
        <v>10</v>
      </c>
      <c r="F937" t="str">
        <f t="shared" si="29"/>
        <v>Mobile</v>
      </c>
      <c r="G937">
        <v>13</v>
      </c>
      <c r="H937">
        <v>0</v>
      </c>
      <c r="I937">
        <v>0</v>
      </c>
    </row>
    <row r="938" spans="1:9">
      <c r="A938" t="s">
        <v>956</v>
      </c>
      <c r="B938" t="s">
        <v>15</v>
      </c>
      <c r="C938" t="str">
        <f t="shared" si="28"/>
        <v>B</v>
      </c>
      <c r="D938" t="s">
        <v>13</v>
      </c>
      <c r="E938" t="s">
        <v>10</v>
      </c>
      <c r="F938" t="str">
        <f t="shared" si="29"/>
        <v>Mobile</v>
      </c>
      <c r="G938">
        <v>6</v>
      </c>
      <c r="H938">
        <v>0</v>
      </c>
      <c r="I938">
        <v>0</v>
      </c>
    </row>
    <row r="939" spans="1:9">
      <c r="A939" t="s">
        <v>957</v>
      </c>
      <c r="B939" t="s">
        <v>15</v>
      </c>
      <c r="C939" t="str">
        <f t="shared" si="28"/>
        <v>B</v>
      </c>
      <c r="D939" t="s">
        <v>13</v>
      </c>
      <c r="E939" t="s">
        <v>23</v>
      </c>
      <c r="F939" t="str">
        <f t="shared" si="29"/>
        <v>Desktop</v>
      </c>
      <c r="G939">
        <v>6</v>
      </c>
      <c r="H939">
        <v>0</v>
      </c>
      <c r="I939">
        <v>0</v>
      </c>
    </row>
    <row r="940" spans="1:9">
      <c r="A940" t="s">
        <v>958</v>
      </c>
      <c r="B940" t="s">
        <v>15</v>
      </c>
      <c r="C940" t="str">
        <f t="shared" si="28"/>
        <v>B</v>
      </c>
      <c r="D940" t="s">
        <v>20</v>
      </c>
      <c r="E940" t="s">
        <v>16</v>
      </c>
      <c r="F940" t="str">
        <f t="shared" si="29"/>
        <v>Mobile</v>
      </c>
      <c r="G940">
        <v>2</v>
      </c>
      <c r="H940">
        <v>0</v>
      </c>
      <c r="I940">
        <v>0</v>
      </c>
    </row>
    <row r="941" spans="1:9">
      <c r="A941" t="s">
        <v>959</v>
      </c>
      <c r="B941" t="s">
        <v>15</v>
      </c>
      <c r="C941" t="str">
        <f t="shared" si="28"/>
        <v>B</v>
      </c>
      <c r="D941" t="s">
        <v>13</v>
      </c>
      <c r="E941" t="s">
        <v>10</v>
      </c>
      <c r="F941" t="str">
        <f t="shared" si="29"/>
        <v>Mobile</v>
      </c>
      <c r="G941">
        <v>7</v>
      </c>
      <c r="H941">
        <v>0</v>
      </c>
      <c r="I941">
        <v>0</v>
      </c>
    </row>
    <row r="942" spans="1:9">
      <c r="A942" t="s">
        <v>960</v>
      </c>
      <c r="B942" t="s">
        <v>15</v>
      </c>
      <c r="C942" t="str">
        <f t="shared" si="28"/>
        <v>B</v>
      </c>
      <c r="D942" t="s">
        <v>13</v>
      </c>
      <c r="E942" t="s">
        <v>10</v>
      </c>
      <c r="F942" t="str">
        <f t="shared" si="29"/>
        <v>Mobile</v>
      </c>
      <c r="G942">
        <v>3</v>
      </c>
      <c r="H942">
        <v>0</v>
      </c>
      <c r="I942">
        <v>0</v>
      </c>
    </row>
    <row r="943" spans="1:9">
      <c r="A943" t="s">
        <v>961</v>
      </c>
      <c r="B943" t="s">
        <v>8</v>
      </c>
      <c r="C943" t="str">
        <f t="shared" si="28"/>
        <v>A</v>
      </c>
      <c r="D943" t="s">
        <v>13</v>
      </c>
      <c r="E943" t="s">
        <v>23</v>
      </c>
      <c r="F943" t="str">
        <f t="shared" si="29"/>
        <v>Desktop</v>
      </c>
      <c r="G943">
        <v>5</v>
      </c>
      <c r="H943">
        <v>0</v>
      </c>
      <c r="I943">
        <v>0</v>
      </c>
    </row>
    <row r="944" spans="1:9">
      <c r="A944" t="s">
        <v>962</v>
      </c>
      <c r="B944" t="s">
        <v>15</v>
      </c>
      <c r="C944" t="str">
        <f t="shared" si="28"/>
        <v>B</v>
      </c>
      <c r="D944" t="s">
        <v>20</v>
      </c>
      <c r="E944" t="s">
        <v>23</v>
      </c>
      <c r="F944" t="str">
        <f t="shared" si="29"/>
        <v>Desktop</v>
      </c>
      <c r="G944">
        <v>9</v>
      </c>
      <c r="H944">
        <v>1</v>
      </c>
      <c r="I944">
        <v>858.62</v>
      </c>
    </row>
    <row r="945" spans="1:9">
      <c r="A945" t="s">
        <v>963</v>
      </c>
      <c r="B945" t="s">
        <v>8</v>
      </c>
      <c r="C945" t="str">
        <f t="shared" si="28"/>
        <v>A</v>
      </c>
      <c r="D945" t="s">
        <v>18</v>
      </c>
      <c r="E945" t="s">
        <v>10</v>
      </c>
      <c r="F945" t="str">
        <f t="shared" si="29"/>
        <v>Mobile</v>
      </c>
      <c r="G945">
        <v>5</v>
      </c>
      <c r="H945">
        <v>0</v>
      </c>
      <c r="I945">
        <v>0</v>
      </c>
    </row>
    <row r="946" spans="1:9">
      <c r="A946" t="s">
        <v>964</v>
      </c>
      <c r="B946" t="s">
        <v>8</v>
      </c>
      <c r="C946" t="str">
        <f t="shared" si="28"/>
        <v>A</v>
      </c>
      <c r="D946" t="s">
        <v>20</v>
      </c>
      <c r="E946" t="s">
        <v>23</v>
      </c>
      <c r="F946" t="str">
        <f t="shared" si="29"/>
        <v>Desktop</v>
      </c>
      <c r="G946">
        <v>6</v>
      </c>
      <c r="H946">
        <v>0</v>
      </c>
      <c r="I946">
        <v>0</v>
      </c>
    </row>
    <row r="947" spans="1:9">
      <c r="A947" t="s">
        <v>965</v>
      </c>
      <c r="B947" t="s">
        <v>15</v>
      </c>
      <c r="C947" t="str">
        <f t="shared" si="28"/>
        <v>B</v>
      </c>
      <c r="D947" t="s">
        <v>13</v>
      </c>
      <c r="E947" t="s">
        <v>10</v>
      </c>
      <c r="F947" t="str">
        <f t="shared" si="29"/>
        <v>Mobile</v>
      </c>
      <c r="G947">
        <v>3</v>
      </c>
      <c r="H947">
        <v>0</v>
      </c>
      <c r="I947">
        <v>0</v>
      </c>
    </row>
    <row r="948" spans="1:9">
      <c r="A948" t="s">
        <v>966</v>
      </c>
      <c r="B948" t="s">
        <v>8</v>
      </c>
      <c r="C948" t="str">
        <f t="shared" si="28"/>
        <v>A</v>
      </c>
      <c r="D948" t="s">
        <v>13</v>
      </c>
      <c r="E948" t="s">
        <v>10</v>
      </c>
      <c r="F948" t="str">
        <f t="shared" si="29"/>
        <v>Mobile</v>
      </c>
      <c r="G948">
        <v>6</v>
      </c>
      <c r="H948">
        <v>0</v>
      </c>
      <c r="I948">
        <v>0</v>
      </c>
    </row>
    <row r="949" spans="1:9">
      <c r="A949" t="s">
        <v>967</v>
      </c>
      <c r="B949" t="s">
        <v>8</v>
      </c>
      <c r="C949" t="str">
        <f t="shared" si="28"/>
        <v>A</v>
      </c>
      <c r="D949" t="s">
        <v>13</v>
      </c>
      <c r="E949" t="s">
        <v>23</v>
      </c>
      <c r="F949" t="str">
        <f t="shared" si="29"/>
        <v>Desktop</v>
      </c>
      <c r="G949">
        <v>7</v>
      </c>
      <c r="H949">
        <v>0</v>
      </c>
      <c r="I949">
        <v>0</v>
      </c>
    </row>
    <row r="950" spans="1:9">
      <c r="A950" t="s">
        <v>968</v>
      </c>
      <c r="B950" t="s">
        <v>15</v>
      </c>
      <c r="C950" t="str">
        <f t="shared" si="28"/>
        <v>B</v>
      </c>
      <c r="D950" t="s">
        <v>13</v>
      </c>
      <c r="E950" t="s">
        <v>23</v>
      </c>
      <c r="F950" t="str">
        <f t="shared" si="29"/>
        <v>Desktop</v>
      </c>
      <c r="G950">
        <v>5</v>
      </c>
      <c r="H950">
        <v>1</v>
      </c>
      <c r="I950">
        <v>2795.06</v>
      </c>
    </row>
    <row r="951" spans="1:9">
      <c r="A951" t="s">
        <v>969</v>
      </c>
      <c r="B951" t="s">
        <v>8</v>
      </c>
      <c r="C951" t="str">
        <f t="shared" si="28"/>
        <v>A</v>
      </c>
      <c r="D951" t="s">
        <v>20</v>
      </c>
      <c r="E951" t="s">
        <v>10</v>
      </c>
      <c r="F951" t="str">
        <f t="shared" si="29"/>
        <v>Mobile</v>
      </c>
      <c r="G951">
        <v>5</v>
      </c>
      <c r="H951">
        <v>0</v>
      </c>
      <c r="I951">
        <v>0</v>
      </c>
    </row>
    <row r="952" spans="1:9">
      <c r="A952" t="s">
        <v>970</v>
      </c>
      <c r="B952" t="s">
        <v>15</v>
      </c>
      <c r="C952" t="str">
        <f t="shared" si="28"/>
        <v>B</v>
      </c>
      <c r="D952" t="s">
        <v>20</v>
      </c>
      <c r="E952" t="s">
        <v>33</v>
      </c>
      <c r="F952" t="str">
        <f t="shared" si="29"/>
        <v>Desktop</v>
      </c>
      <c r="G952">
        <v>4</v>
      </c>
      <c r="H952">
        <v>0</v>
      </c>
      <c r="I952">
        <v>0</v>
      </c>
    </row>
    <row r="953" spans="1:9">
      <c r="A953" t="s">
        <v>971</v>
      </c>
      <c r="B953" t="s">
        <v>8</v>
      </c>
      <c r="C953" t="str">
        <f t="shared" si="28"/>
        <v>A</v>
      </c>
      <c r="D953" t="s">
        <v>13</v>
      </c>
      <c r="E953" t="s">
        <v>10</v>
      </c>
      <c r="F953" t="str">
        <f t="shared" si="29"/>
        <v>Mobile</v>
      </c>
      <c r="G953">
        <v>12</v>
      </c>
      <c r="H953">
        <v>1</v>
      </c>
      <c r="I953">
        <v>1845.51</v>
      </c>
    </row>
    <row r="954" spans="1:9">
      <c r="A954" t="s">
        <v>972</v>
      </c>
      <c r="B954" t="s">
        <v>8</v>
      </c>
      <c r="C954" t="str">
        <f t="shared" si="28"/>
        <v>A</v>
      </c>
      <c r="D954" t="s">
        <v>13</v>
      </c>
      <c r="E954" t="s">
        <v>23</v>
      </c>
      <c r="F954" t="str">
        <f t="shared" si="29"/>
        <v>Desktop</v>
      </c>
      <c r="G954">
        <v>5</v>
      </c>
      <c r="H954">
        <v>0</v>
      </c>
      <c r="I954">
        <v>0</v>
      </c>
    </row>
    <row r="955" spans="1:9">
      <c r="A955" t="s">
        <v>973</v>
      </c>
      <c r="B955" t="s">
        <v>8</v>
      </c>
      <c r="C955" t="str">
        <f t="shared" si="28"/>
        <v>A</v>
      </c>
      <c r="D955" t="s">
        <v>20</v>
      </c>
      <c r="E955" t="s">
        <v>10</v>
      </c>
      <c r="F955" t="str">
        <f t="shared" si="29"/>
        <v>Mobile</v>
      </c>
      <c r="G955">
        <v>3</v>
      </c>
      <c r="H955">
        <v>0</v>
      </c>
      <c r="I955">
        <v>0</v>
      </c>
    </row>
    <row r="956" spans="1:9">
      <c r="A956" t="s">
        <v>974</v>
      </c>
      <c r="B956" t="s">
        <v>8</v>
      </c>
      <c r="C956" t="str">
        <f t="shared" si="28"/>
        <v>A</v>
      </c>
      <c r="D956" t="s">
        <v>13</v>
      </c>
      <c r="E956" t="s">
        <v>16</v>
      </c>
      <c r="F956" t="str">
        <f t="shared" si="29"/>
        <v>Mobile</v>
      </c>
      <c r="G956">
        <v>7</v>
      </c>
      <c r="H956">
        <v>1</v>
      </c>
      <c r="I956">
        <v>1640.13</v>
      </c>
    </row>
    <row r="957" spans="1:9">
      <c r="A957" t="s">
        <v>975</v>
      </c>
      <c r="B957" t="s">
        <v>15</v>
      </c>
      <c r="C957" t="str">
        <f t="shared" si="28"/>
        <v>B</v>
      </c>
      <c r="D957" t="s">
        <v>13</v>
      </c>
      <c r="E957" t="s">
        <v>33</v>
      </c>
      <c r="F957" t="str">
        <f t="shared" si="29"/>
        <v>Desktop</v>
      </c>
      <c r="G957">
        <v>1</v>
      </c>
      <c r="H957">
        <v>0</v>
      </c>
      <c r="I957">
        <v>0</v>
      </c>
    </row>
    <row r="958" spans="1:9">
      <c r="A958" t="s">
        <v>976</v>
      </c>
      <c r="B958" t="s">
        <v>8</v>
      </c>
      <c r="C958" t="str">
        <f t="shared" si="28"/>
        <v>A</v>
      </c>
      <c r="D958" t="s">
        <v>13</v>
      </c>
      <c r="E958" t="s">
        <v>10</v>
      </c>
      <c r="F958" t="str">
        <f t="shared" si="29"/>
        <v>Mobile</v>
      </c>
      <c r="G958">
        <v>3</v>
      </c>
      <c r="H958">
        <v>0</v>
      </c>
      <c r="I958">
        <v>0</v>
      </c>
    </row>
    <row r="959" spans="1:9">
      <c r="A959" t="s">
        <v>977</v>
      </c>
      <c r="B959" t="s">
        <v>15</v>
      </c>
      <c r="C959" t="str">
        <f t="shared" si="28"/>
        <v>B</v>
      </c>
      <c r="D959" t="s">
        <v>9</v>
      </c>
      <c r="E959" t="s">
        <v>33</v>
      </c>
      <c r="F959" t="str">
        <f t="shared" si="29"/>
        <v>Desktop</v>
      </c>
      <c r="G959">
        <v>12</v>
      </c>
      <c r="H959">
        <v>0</v>
      </c>
      <c r="I959">
        <v>0</v>
      </c>
    </row>
    <row r="960" spans="1:9">
      <c r="A960" t="s">
        <v>978</v>
      </c>
      <c r="B960" t="s">
        <v>15</v>
      </c>
      <c r="C960" t="str">
        <f t="shared" si="28"/>
        <v>B</v>
      </c>
      <c r="D960" t="s">
        <v>20</v>
      </c>
      <c r="E960" t="s">
        <v>16</v>
      </c>
      <c r="F960" t="str">
        <f t="shared" si="29"/>
        <v>Mobile</v>
      </c>
      <c r="G960">
        <v>4</v>
      </c>
      <c r="H960">
        <v>0</v>
      </c>
      <c r="I960">
        <v>0</v>
      </c>
    </row>
    <row r="961" spans="1:9">
      <c r="A961" t="s">
        <v>979</v>
      </c>
      <c r="B961" t="s">
        <v>15</v>
      </c>
      <c r="C961" t="str">
        <f t="shared" si="28"/>
        <v>B</v>
      </c>
      <c r="D961" t="s">
        <v>20</v>
      </c>
      <c r="E961" t="s">
        <v>23</v>
      </c>
      <c r="F961" t="str">
        <f t="shared" si="29"/>
        <v>Desktop</v>
      </c>
      <c r="G961">
        <v>8</v>
      </c>
      <c r="H961">
        <v>0</v>
      </c>
      <c r="I961">
        <v>0</v>
      </c>
    </row>
    <row r="962" spans="1:9">
      <c r="A962" t="s">
        <v>980</v>
      </c>
      <c r="B962" t="s">
        <v>12</v>
      </c>
      <c r="C962" t="str">
        <f t="shared" ref="C962:C1025" si="30">IF(OR(B962="control", B962="A"), "A", "B")</f>
        <v>A</v>
      </c>
      <c r="D962" t="s">
        <v>9</v>
      </c>
      <c r="E962" t="s">
        <v>10</v>
      </c>
      <c r="F962" t="str">
        <f t="shared" ref="F962:F1025" si="31">PROPER(E962)</f>
        <v>Mobile</v>
      </c>
      <c r="G962">
        <v>7</v>
      </c>
      <c r="H962">
        <v>0</v>
      </c>
      <c r="I962">
        <v>0</v>
      </c>
    </row>
    <row r="963" spans="1:9">
      <c r="A963" t="s">
        <v>981</v>
      </c>
      <c r="B963" t="s">
        <v>15</v>
      </c>
      <c r="C963" t="str">
        <f t="shared" si="30"/>
        <v>B</v>
      </c>
      <c r="D963" t="s">
        <v>13</v>
      </c>
      <c r="E963" t="s">
        <v>23</v>
      </c>
      <c r="F963" t="str">
        <f t="shared" si="31"/>
        <v>Desktop</v>
      </c>
      <c r="G963">
        <v>6</v>
      </c>
      <c r="H963">
        <v>1</v>
      </c>
      <c r="I963">
        <v>2753.04</v>
      </c>
    </row>
    <row r="964" spans="1:9">
      <c r="A964" t="s">
        <v>982</v>
      </c>
      <c r="B964" t="s">
        <v>8</v>
      </c>
      <c r="C964" t="str">
        <f t="shared" si="30"/>
        <v>A</v>
      </c>
      <c r="D964" t="s">
        <v>13</v>
      </c>
      <c r="E964" t="s">
        <v>16</v>
      </c>
      <c r="F964" t="str">
        <f t="shared" si="31"/>
        <v>Mobile</v>
      </c>
      <c r="G964">
        <v>8</v>
      </c>
      <c r="H964">
        <v>0</v>
      </c>
      <c r="I964">
        <v>0</v>
      </c>
    </row>
    <row r="965" spans="1:9">
      <c r="A965" t="s">
        <v>983</v>
      </c>
      <c r="B965" t="s">
        <v>8</v>
      </c>
      <c r="C965" t="str">
        <f t="shared" si="30"/>
        <v>A</v>
      </c>
      <c r="D965" t="s">
        <v>9</v>
      </c>
      <c r="E965" t="s">
        <v>10</v>
      </c>
      <c r="F965" t="str">
        <f t="shared" si="31"/>
        <v>Mobile</v>
      </c>
      <c r="G965">
        <v>7</v>
      </c>
      <c r="H965">
        <v>0</v>
      </c>
      <c r="I965">
        <v>0</v>
      </c>
    </row>
    <row r="966" spans="1:9">
      <c r="A966" t="s">
        <v>984</v>
      </c>
      <c r="B966" t="s">
        <v>8</v>
      </c>
      <c r="C966" t="str">
        <f t="shared" si="30"/>
        <v>A</v>
      </c>
      <c r="D966" t="s">
        <v>9</v>
      </c>
      <c r="E966" t="s">
        <v>33</v>
      </c>
      <c r="F966" t="str">
        <f t="shared" si="31"/>
        <v>Desktop</v>
      </c>
      <c r="G966">
        <v>5</v>
      </c>
      <c r="H966">
        <v>0</v>
      </c>
      <c r="I966">
        <v>0</v>
      </c>
    </row>
    <row r="967" spans="1:9">
      <c r="A967" t="s">
        <v>985</v>
      </c>
      <c r="B967" t="s">
        <v>15</v>
      </c>
      <c r="C967" t="str">
        <f t="shared" si="30"/>
        <v>B</v>
      </c>
      <c r="D967" t="s">
        <v>18</v>
      </c>
      <c r="E967" t="s">
        <v>10</v>
      </c>
      <c r="F967" t="str">
        <f t="shared" si="31"/>
        <v>Mobile</v>
      </c>
      <c r="G967">
        <v>5</v>
      </c>
      <c r="H967">
        <v>0</v>
      </c>
      <c r="I967">
        <v>0</v>
      </c>
    </row>
    <row r="968" spans="1:9">
      <c r="A968" t="s">
        <v>986</v>
      </c>
      <c r="B968" t="s">
        <v>8</v>
      </c>
      <c r="C968" t="str">
        <f t="shared" si="30"/>
        <v>A</v>
      </c>
      <c r="D968" t="s">
        <v>13</v>
      </c>
      <c r="E968" t="s">
        <v>10</v>
      </c>
      <c r="F968" t="str">
        <f t="shared" si="31"/>
        <v>Mobile</v>
      </c>
      <c r="G968">
        <v>4</v>
      </c>
      <c r="H968">
        <v>0</v>
      </c>
      <c r="I968">
        <v>0</v>
      </c>
    </row>
    <row r="969" spans="1:9">
      <c r="A969" t="s">
        <v>987</v>
      </c>
      <c r="B969" t="s">
        <v>15</v>
      </c>
      <c r="C969" t="str">
        <f t="shared" si="30"/>
        <v>B</v>
      </c>
      <c r="D969" t="s">
        <v>13</v>
      </c>
      <c r="E969" t="s">
        <v>23</v>
      </c>
      <c r="F969" t="str">
        <f t="shared" si="31"/>
        <v>Desktop</v>
      </c>
      <c r="G969">
        <v>7</v>
      </c>
      <c r="H969">
        <v>0</v>
      </c>
      <c r="I969">
        <v>0</v>
      </c>
    </row>
    <row r="970" spans="1:9">
      <c r="A970" t="s">
        <v>988</v>
      </c>
      <c r="B970" t="s">
        <v>15</v>
      </c>
      <c r="C970" t="str">
        <f t="shared" si="30"/>
        <v>B</v>
      </c>
      <c r="D970" t="s">
        <v>20</v>
      </c>
      <c r="E970" t="s">
        <v>23</v>
      </c>
      <c r="F970" t="str">
        <f t="shared" si="31"/>
        <v>Desktop</v>
      </c>
      <c r="G970">
        <v>3</v>
      </c>
      <c r="H970">
        <v>0</v>
      </c>
      <c r="I970">
        <v>0</v>
      </c>
    </row>
    <row r="971" spans="1:9">
      <c r="A971" t="s">
        <v>989</v>
      </c>
      <c r="B971" t="s">
        <v>8</v>
      </c>
      <c r="C971" t="str">
        <f t="shared" si="30"/>
        <v>A</v>
      </c>
      <c r="D971" t="s">
        <v>20</v>
      </c>
      <c r="E971" t="s">
        <v>23</v>
      </c>
      <c r="F971" t="str">
        <f t="shared" si="31"/>
        <v>Desktop</v>
      </c>
      <c r="G971">
        <v>6</v>
      </c>
      <c r="H971">
        <v>0</v>
      </c>
      <c r="I971">
        <v>0</v>
      </c>
    </row>
    <row r="972" spans="1:9">
      <c r="A972" t="s">
        <v>990</v>
      </c>
      <c r="B972" t="s">
        <v>15</v>
      </c>
      <c r="C972" t="str">
        <f t="shared" si="30"/>
        <v>B</v>
      </c>
      <c r="D972" t="s">
        <v>13</v>
      </c>
      <c r="E972" t="s">
        <v>10</v>
      </c>
      <c r="F972" t="str">
        <f t="shared" si="31"/>
        <v>Mobile</v>
      </c>
      <c r="G972">
        <v>3</v>
      </c>
      <c r="H972">
        <v>0</v>
      </c>
      <c r="I972">
        <v>0</v>
      </c>
    </row>
    <row r="973" spans="1:9">
      <c r="A973" t="s">
        <v>991</v>
      </c>
      <c r="B973" t="s">
        <v>8</v>
      </c>
      <c r="C973" t="str">
        <f t="shared" si="30"/>
        <v>A</v>
      </c>
      <c r="D973" t="s">
        <v>20</v>
      </c>
      <c r="E973" t="s">
        <v>33</v>
      </c>
      <c r="F973" t="str">
        <f t="shared" si="31"/>
        <v>Desktop</v>
      </c>
      <c r="G973">
        <v>6</v>
      </c>
      <c r="H973">
        <v>0</v>
      </c>
      <c r="I973">
        <v>0</v>
      </c>
    </row>
    <row r="974" spans="1:9">
      <c r="A974" t="s">
        <v>992</v>
      </c>
      <c r="B974" t="s">
        <v>8</v>
      </c>
      <c r="C974" t="str">
        <f t="shared" si="30"/>
        <v>A</v>
      </c>
      <c r="D974" t="s">
        <v>18</v>
      </c>
      <c r="E974" t="s">
        <v>10</v>
      </c>
      <c r="F974" t="str">
        <f t="shared" si="31"/>
        <v>Mobile</v>
      </c>
      <c r="G974">
        <v>6</v>
      </c>
      <c r="H974">
        <v>0</v>
      </c>
      <c r="I974">
        <v>0</v>
      </c>
    </row>
    <row r="975" spans="1:9">
      <c r="A975" t="s">
        <v>993</v>
      </c>
      <c r="B975" t="s">
        <v>15</v>
      </c>
      <c r="C975" t="str">
        <f t="shared" si="30"/>
        <v>B</v>
      </c>
      <c r="D975" t="s">
        <v>13</v>
      </c>
      <c r="E975" t="s">
        <v>10</v>
      </c>
      <c r="F975" t="str">
        <f t="shared" si="31"/>
        <v>Mobile</v>
      </c>
      <c r="G975">
        <v>4</v>
      </c>
      <c r="H975">
        <v>1</v>
      </c>
      <c r="I975">
        <v>2639.54</v>
      </c>
    </row>
    <row r="976" spans="1:9">
      <c r="A976" t="s">
        <v>994</v>
      </c>
      <c r="B976" t="s">
        <v>15</v>
      </c>
      <c r="C976" t="str">
        <f t="shared" si="30"/>
        <v>B</v>
      </c>
      <c r="D976" t="s">
        <v>13</v>
      </c>
      <c r="E976" t="s">
        <v>10</v>
      </c>
      <c r="F976" t="str">
        <f t="shared" si="31"/>
        <v>Mobile</v>
      </c>
      <c r="G976">
        <v>4</v>
      </c>
      <c r="H976">
        <v>1</v>
      </c>
      <c r="I976">
        <v>1764</v>
      </c>
    </row>
    <row r="977" spans="1:9">
      <c r="A977" t="s">
        <v>995</v>
      </c>
      <c r="B977" t="s">
        <v>15</v>
      </c>
      <c r="C977" t="str">
        <f t="shared" si="30"/>
        <v>B</v>
      </c>
      <c r="D977" t="s">
        <v>20</v>
      </c>
      <c r="E977" t="s">
        <v>23</v>
      </c>
      <c r="F977" t="str">
        <f t="shared" si="31"/>
        <v>Desktop</v>
      </c>
      <c r="G977">
        <v>13</v>
      </c>
      <c r="H977">
        <v>0</v>
      </c>
      <c r="I977">
        <v>0</v>
      </c>
    </row>
    <row r="978" spans="1:9">
      <c r="A978" t="s">
        <v>996</v>
      </c>
      <c r="B978" t="s">
        <v>8</v>
      </c>
      <c r="C978" t="str">
        <f t="shared" si="30"/>
        <v>A</v>
      </c>
      <c r="D978" t="s">
        <v>20</v>
      </c>
      <c r="E978" t="s">
        <v>33</v>
      </c>
      <c r="F978" t="str">
        <f t="shared" si="31"/>
        <v>Desktop</v>
      </c>
      <c r="G978">
        <v>9</v>
      </c>
      <c r="H978">
        <v>1</v>
      </c>
      <c r="I978">
        <v>1375.44</v>
      </c>
    </row>
    <row r="979" spans="1:9">
      <c r="A979" t="s">
        <v>997</v>
      </c>
      <c r="B979" t="s">
        <v>8</v>
      </c>
      <c r="C979" t="str">
        <f t="shared" si="30"/>
        <v>A</v>
      </c>
      <c r="D979" t="s">
        <v>20</v>
      </c>
      <c r="E979" t="s">
        <v>23</v>
      </c>
      <c r="F979" t="str">
        <f t="shared" si="31"/>
        <v>Desktop</v>
      </c>
      <c r="G979">
        <v>9</v>
      </c>
      <c r="H979">
        <v>0</v>
      </c>
      <c r="I979">
        <v>0</v>
      </c>
    </row>
    <row r="980" spans="1:9">
      <c r="A980" t="s">
        <v>998</v>
      </c>
      <c r="B980" t="s">
        <v>15</v>
      </c>
      <c r="C980" t="str">
        <f t="shared" si="30"/>
        <v>B</v>
      </c>
      <c r="D980" t="s">
        <v>13</v>
      </c>
      <c r="E980" t="s">
        <v>16</v>
      </c>
      <c r="F980" t="str">
        <f t="shared" si="31"/>
        <v>Mobile</v>
      </c>
      <c r="G980">
        <v>2</v>
      </c>
      <c r="H980">
        <v>0</v>
      </c>
      <c r="I980">
        <v>0</v>
      </c>
    </row>
    <row r="981" spans="1:9">
      <c r="A981" t="s">
        <v>999</v>
      </c>
      <c r="B981" t="s">
        <v>15</v>
      </c>
      <c r="C981" t="str">
        <f t="shared" si="30"/>
        <v>B</v>
      </c>
      <c r="D981" t="s">
        <v>20</v>
      </c>
      <c r="E981" t="s">
        <v>10</v>
      </c>
      <c r="F981" t="str">
        <f t="shared" si="31"/>
        <v>Mobile</v>
      </c>
      <c r="G981">
        <v>6</v>
      </c>
      <c r="H981">
        <v>0</v>
      </c>
      <c r="I981">
        <v>0</v>
      </c>
    </row>
    <row r="982" spans="1:9">
      <c r="A982" t="s">
        <v>1000</v>
      </c>
      <c r="B982" t="s">
        <v>15</v>
      </c>
      <c r="C982" t="str">
        <f t="shared" si="30"/>
        <v>B</v>
      </c>
      <c r="D982" t="s">
        <v>13</v>
      </c>
      <c r="E982" t="s">
        <v>23</v>
      </c>
      <c r="F982" t="str">
        <f t="shared" si="31"/>
        <v>Desktop</v>
      </c>
      <c r="G982">
        <v>2</v>
      </c>
      <c r="H982">
        <v>1</v>
      </c>
      <c r="I982">
        <v>2450.86</v>
      </c>
    </row>
    <row r="983" spans="1:9">
      <c r="A983" t="s">
        <v>1001</v>
      </c>
      <c r="B983" t="s">
        <v>8</v>
      </c>
      <c r="C983" t="str">
        <f t="shared" si="30"/>
        <v>A</v>
      </c>
      <c r="D983" t="s">
        <v>9</v>
      </c>
      <c r="E983" t="s">
        <v>10</v>
      </c>
      <c r="F983" t="str">
        <f t="shared" si="31"/>
        <v>Mobile</v>
      </c>
      <c r="G983">
        <v>3</v>
      </c>
      <c r="H983">
        <v>1</v>
      </c>
      <c r="I983">
        <v>5309.33</v>
      </c>
    </row>
    <row r="984" spans="1:9">
      <c r="A984" t="s">
        <v>1002</v>
      </c>
      <c r="B984" t="s">
        <v>15</v>
      </c>
      <c r="C984" t="str">
        <f t="shared" si="30"/>
        <v>B</v>
      </c>
      <c r="D984" t="s">
        <v>9</v>
      </c>
      <c r="E984" t="s">
        <v>10</v>
      </c>
      <c r="F984" t="str">
        <f t="shared" si="31"/>
        <v>Mobile</v>
      </c>
      <c r="G984">
        <v>10</v>
      </c>
      <c r="H984">
        <v>0</v>
      </c>
      <c r="I984">
        <v>0</v>
      </c>
    </row>
    <row r="985" spans="1:9">
      <c r="A985" t="s">
        <v>1003</v>
      </c>
      <c r="B985" t="s">
        <v>8</v>
      </c>
      <c r="C985" t="str">
        <f t="shared" si="30"/>
        <v>A</v>
      </c>
      <c r="D985" t="s">
        <v>13</v>
      </c>
      <c r="E985" t="s">
        <v>10</v>
      </c>
      <c r="F985" t="str">
        <f t="shared" si="31"/>
        <v>Mobile</v>
      </c>
      <c r="G985">
        <v>7</v>
      </c>
      <c r="H985">
        <v>0</v>
      </c>
      <c r="I985">
        <v>0</v>
      </c>
    </row>
    <row r="986" spans="1:9">
      <c r="A986" t="s">
        <v>1004</v>
      </c>
      <c r="B986" t="s">
        <v>8</v>
      </c>
      <c r="C986" t="str">
        <f t="shared" si="30"/>
        <v>A</v>
      </c>
      <c r="D986" t="s">
        <v>20</v>
      </c>
      <c r="E986" t="s">
        <v>23</v>
      </c>
      <c r="F986" t="str">
        <f t="shared" si="31"/>
        <v>Desktop</v>
      </c>
      <c r="G986">
        <v>3</v>
      </c>
      <c r="H986">
        <v>0</v>
      </c>
      <c r="I986">
        <v>0</v>
      </c>
    </row>
    <row r="987" spans="1:9">
      <c r="A987" t="s">
        <v>1005</v>
      </c>
      <c r="B987" t="s">
        <v>15</v>
      </c>
      <c r="C987" t="str">
        <f t="shared" si="30"/>
        <v>B</v>
      </c>
      <c r="D987" t="s">
        <v>9</v>
      </c>
      <c r="E987" t="s">
        <v>10</v>
      </c>
      <c r="F987" t="str">
        <f t="shared" si="31"/>
        <v>Mobile</v>
      </c>
      <c r="G987">
        <v>7</v>
      </c>
      <c r="H987">
        <v>1</v>
      </c>
      <c r="I987">
        <v>4676.63</v>
      </c>
    </row>
    <row r="988" spans="1:9">
      <c r="A988" t="s">
        <v>1006</v>
      </c>
      <c r="B988" t="s">
        <v>8</v>
      </c>
      <c r="C988" t="str">
        <f t="shared" si="30"/>
        <v>A</v>
      </c>
      <c r="D988" t="s">
        <v>9</v>
      </c>
      <c r="E988" t="s">
        <v>23</v>
      </c>
      <c r="F988" t="str">
        <f t="shared" si="31"/>
        <v>Desktop</v>
      </c>
      <c r="G988">
        <v>6</v>
      </c>
      <c r="H988">
        <v>0</v>
      </c>
      <c r="I988">
        <v>0</v>
      </c>
    </row>
    <row r="989" spans="1:9">
      <c r="A989" t="s">
        <v>1007</v>
      </c>
      <c r="B989" t="s">
        <v>12</v>
      </c>
      <c r="C989" t="str">
        <f t="shared" si="30"/>
        <v>A</v>
      </c>
      <c r="D989" t="s">
        <v>20</v>
      </c>
      <c r="E989" t="s">
        <v>10</v>
      </c>
      <c r="F989" t="str">
        <f t="shared" si="31"/>
        <v>Mobile</v>
      </c>
      <c r="G989">
        <v>9</v>
      </c>
      <c r="H989">
        <v>0</v>
      </c>
      <c r="I989">
        <v>0</v>
      </c>
    </row>
    <row r="990" spans="1:9">
      <c r="A990" t="s">
        <v>1008</v>
      </c>
      <c r="B990" t="s">
        <v>8</v>
      </c>
      <c r="C990" t="str">
        <f t="shared" si="30"/>
        <v>A</v>
      </c>
      <c r="D990" t="s">
        <v>13</v>
      </c>
      <c r="E990" t="s">
        <v>10</v>
      </c>
      <c r="F990" t="str">
        <f t="shared" si="31"/>
        <v>Mobile</v>
      </c>
      <c r="G990">
        <v>7</v>
      </c>
      <c r="H990">
        <v>0</v>
      </c>
      <c r="I990">
        <v>0</v>
      </c>
    </row>
    <row r="991" spans="1:9">
      <c r="A991" t="s">
        <v>1009</v>
      </c>
      <c r="B991" t="s">
        <v>8</v>
      </c>
      <c r="C991" t="str">
        <f t="shared" si="30"/>
        <v>A</v>
      </c>
      <c r="D991" t="s">
        <v>20</v>
      </c>
      <c r="E991" t="s">
        <v>23</v>
      </c>
      <c r="F991" t="str">
        <f t="shared" si="31"/>
        <v>Desktop</v>
      </c>
      <c r="G991">
        <v>5</v>
      </c>
      <c r="H991">
        <v>0</v>
      </c>
      <c r="I991">
        <v>0</v>
      </c>
    </row>
    <row r="992" spans="1:9">
      <c r="A992" t="s">
        <v>1010</v>
      </c>
      <c r="B992" t="s">
        <v>15</v>
      </c>
      <c r="C992" t="str">
        <f t="shared" si="30"/>
        <v>B</v>
      </c>
      <c r="D992" t="s">
        <v>9</v>
      </c>
      <c r="E992" t="s">
        <v>10</v>
      </c>
      <c r="F992" t="str">
        <f t="shared" si="31"/>
        <v>Mobile</v>
      </c>
      <c r="G992">
        <v>9</v>
      </c>
      <c r="H992">
        <v>0</v>
      </c>
      <c r="I992">
        <v>0</v>
      </c>
    </row>
    <row r="993" spans="1:9">
      <c r="A993" t="s">
        <v>1011</v>
      </c>
      <c r="B993" t="s">
        <v>15</v>
      </c>
      <c r="C993" t="str">
        <f t="shared" si="30"/>
        <v>B</v>
      </c>
      <c r="D993" t="s">
        <v>18</v>
      </c>
      <c r="E993" t="s">
        <v>16</v>
      </c>
      <c r="F993" t="str">
        <f t="shared" si="31"/>
        <v>Mobile</v>
      </c>
      <c r="G993">
        <v>3</v>
      </c>
      <c r="H993">
        <v>0</v>
      </c>
      <c r="I993">
        <v>0</v>
      </c>
    </row>
    <row r="994" spans="1:9">
      <c r="A994" t="s">
        <v>1012</v>
      </c>
      <c r="B994" t="s">
        <v>15</v>
      </c>
      <c r="C994" t="str">
        <f t="shared" si="30"/>
        <v>B</v>
      </c>
      <c r="D994" t="s">
        <v>20</v>
      </c>
      <c r="E994" t="s">
        <v>23</v>
      </c>
      <c r="F994" t="str">
        <f t="shared" si="31"/>
        <v>Desktop</v>
      </c>
      <c r="G994">
        <v>3</v>
      </c>
      <c r="H994">
        <v>0</v>
      </c>
      <c r="I994">
        <v>0</v>
      </c>
    </row>
    <row r="995" spans="1:9">
      <c r="A995" t="s">
        <v>1013</v>
      </c>
      <c r="B995" t="s">
        <v>15</v>
      </c>
      <c r="C995" t="str">
        <f t="shared" si="30"/>
        <v>B</v>
      </c>
      <c r="D995" t="s">
        <v>9</v>
      </c>
      <c r="E995" t="s">
        <v>10</v>
      </c>
      <c r="F995" t="str">
        <f t="shared" si="31"/>
        <v>Mobile</v>
      </c>
      <c r="G995">
        <v>6</v>
      </c>
      <c r="H995">
        <v>1</v>
      </c>
      <c r="I995">
        <v>3750</v>
      </c>
    </row>
    <row r="996" spans="1:9">
      <c r="A996" t="s">
        <v>1014</v>
      </c>
      <c r="B996" t="s">
        <v>15</v>
      </c>
      <c r="C996" t="str">
        <f t="shared" si="30"/>
        <v>B</v>
      </c>
      <c r="D996" t="s">
        <v>13</v>
      </c>
      <c r="E996" t="s">
        <v>33</v>
      </c>
      <c r="F996" t="str">
        <f t="shared" si="31"/>
        <v>Desktop</v>
      </c>
      <c r="G996">
        <v>8</v>
      </c>
      <c r="H996">
        <v>1</v>
      </c>
      <c r="I996">
        <v>1938.23</v>
      </c>
    </row>
    <row r="997" spans="1:9">
      <c r="A997" t="s">
        <v>1015</v>
      </c>
      <c r="B997" t="s">
        <v>15</v>
      </c>
      <c r="C997" t="str">
        <f t="shared" si="30"/>
        <v>B</v>
      </c>
      <c r="D997" t="s">
        <v>18</v>
      </c>
      <c r="E997" t="s">
        <v>10</v>
      </c>
      <c r="F997" t="str">
        <f t="shared" si="31"/>
        <v>Mobile</v>
      </c>
      <c r="G997">
        <v>5</v>
      </c>
      <c r="H997">
        <v>1</v>
      </c>
      <c r="I997">
        <v>1175.75</v>
      </c>
    </row>
    <row r="998" spans="1:9">
      <c r="A998" t="s">
        <v>1016</v>
      </c>
      <c r="B998" t="s">
        <v>15</v>
      </c>
      <c r="C998" t="str">
        <f t="shared" si="30"/>
        <v>B</v>
      </c>
      <c r="D998" t="s">
        <v>13</v>
      </c>
      <c r="E998" t="s">
        <v>10</v>
      </c>
      <c r="F998" t="str">
        <f t="shared" si="31"/>
        <v>Mobile</v>
      </c>
      <c r="G998">
        <v>6</v>
      </c>
      <c r="H998">
        <v>1</v>
      </c>
      <c r="I998">
        <v>1914.96</v>
      </c>
    </row>
    <row r="999" spans="1:9">
      <c r="A999" t="s">
        <v>1017</v>
      </c>
      <c r="B999" t="s">
        <v>8</v>
      </c>
      <c r="C999" t="str">
        <f t="shared" si="30"/>
        <v>A</v>
      </c>
      <c r="D999" t="s">
        <v>9</v>
      </c>
      <c r="E999" t="s">
        <v>23</v>
      </c>
      <c r="F999" t="str">
        <f t="shared" si="31"/>
        <v>Desktop</v>
      </c>
      <c r="G999">
        <v>9</v>
      </c>
      <c r="H999">
        <v>0</v>
      </c>
      <c r="I999">
        <v>0</v>
      </c>
    </row>
    <row r="1000" spans="1:9">
      <c r="A1000" t="s">
        <v>1018</v>
      </c>
      <c r="B1000" t="s">
        <v>15</v>
      </c>
      <c r="C1000" t="str">
        <f t="shared" si="30"/>
        <v>B</v>
      </c>
      <c r="D1000" t="s">
        <v>20</v>
      </c>
      <c r="E1000" t="s">
        <v>10</v>
      </c>
      <c r="F1000" t="str">
        <f t="shared" si="31"/>
        <v>Mobile</v>
      </c>
      <c r="G1000">
        <v>6</v>
      </c>
      <c r="H1000">
        <v>0</v>
      </c>
      <c r="I1000">
        <v>0</v>
      </c>
    </row>
    <row r="1001" spans="1:9">
      <c r="A1001" t="s">
        <v>1019</v>
      </c>
      <c r="B1001" t="s">
        <v>8</v>
      </c>
      <c r="C1001" t="str">
        <f t="shared" si="30"/>
        <v>A</v>
      </c>
      <c r="D1001" t="s">
        <v>20</v>
      </c>
      <c r="E1001" t="s">
        <v>23</v>
      </c>
      <c r="F1001" t="str">
        <f t="shared" si="31"/>
        <v>Desktop</v>
      </c>
      <c r="G1001">
        <v>6</v>
      </c>
      <c r="H1001">
        <v>0</v>
      </c>
      <c r="I1001">
        <v>0</v>
      </c>
    </row>
    <row r="1002" spans="1:9">
      <c r="A1002" t="s">
        <v>1020</v>
      </c>
      <c r="B1002" t="s">
        <v>29</v>
      </c>
      <c r="C1002" t="str">
        <f t="shared" si="30"/>
        <v>B</v>
      </c>
      <c r="D1002" t="s">
        <v>20</v>
      </c>
      <c r="E1002" t="s">
        <v>23</v>
      </c>
      <c r="F1002" t="str">
        <f t="shared" si="31"/>
        <v>Desktop</v>
      </c>
      <c r="G1002">
        <v>5</v>
      </c>
      <c r="H1002">
        <v>0</v>
      </c>
      <c r="I1002">
        <v>0</v>
      </c>
    </row>
    <row r="1003" spans="1:9">
      <c r="A1003" t="s">
        <v>1021</v>
      </c>
      <c r="B1003" t="s">
        <v>12</v>
      </c>
      <c r="C1003" t="str">
        <f t="shared" si="30"/>
        <v>A</v>
      </c>
      <c r="D1003" t="s">
        <v>18</v>
      </c>
      <c r="E1003" t="s">
        <v>83</v>
      </c>
      <c r="F1003" t="str">
        <f t="shared" si="31"/>
        <v>Tablet</v>
      </c>
      <c r="G1003">
        <v>8</v>
      </c>
      <c r="H1003">
        <v>0</v>
      </c>
      <c r="I1003">
        <v>0</v>
      </c>
    </row>
    <row r="1004" spans="1:9">
      <c r="A1004" t="s">
        <v>1022</v>
      </c>
      <c r="B1004" t="s">
        <v>8</v>
      </c>
      <c r="C1004" t="str">
        <f t="shared" si="30"/>
        <v>A</v>
      </c>
      <c r="D1004" t="s">
        <v>9</v>
      </c>
      <c r="E1004" t="s">
        <v>10</v>
      </c>
      <c r="F1004" t="str">
        <f t="shared" si="31"/>
        <v>Mobile</v>
      </c>
      <c r="G1004">
        <v>5</v>
      </c>
      <c r="H1004">
        <v>0</v>
      </c>
      <c r="I1004">
        <v>0</v>
      </c>
    </row>
    <row r="1005" spans="1:9">
      <c r="A1005" t="s">
        <v>1023</v>
      </c>
      <c r="B1005" t="s">
        <v>15</v>
      </c>
      <c r="C1005" t="str">
        <f t="shared" si="30"/>
        <v>B</v>
      </c>
      <c r="D1005" t="s">
        <v>9</v>
      </c>
      <c r="E1005" t="s">
        <v>10</v>
      </c>
      <c r="F1005" t="str">
        <f t="shared" si="31"/>
        <v>Mobile</v>
      </c>
      <c r="G1005">
        <v>4</v>
      </c>
      <c r="H1005">
        <v>1</v>
      </c>
      <c r="I1005">
        <v>5427.56</v>
      </c>
    </row>
    <row r="1006" spans="1:9">
      <c r="A1006" t="s">
        <v>1024</v>
      </c>
      <c r="B1006" t="s">
        <v>12</v>
      </c>
      <c r="C1006" t="str">
        <f t="shared" si="30"/>
        <v>A</v>
      </c>
      <c r="D1006" t="s">
        <v>18</v>
      </c>
      <c r="E1006" t="s">
        <v>23</v>
      </c>
      <c r="F1006" t="str">
        <f t="shared" si="31"/>
        <v>Desktop</v>
      </c>
      <c r="G1006">
        <v>10</v>
      </c>
      <c r="H1006">
        <v>0</v>
      </c>
      <c r="I1006">
        <v>0</v>
      </c>
    </row>
    <row r="1007" spans="1:9">
      <c r="A1007" t="s">
        <v>1025</v>
      </c>
      <c r="B1007" t="s">
        <v>8</v>
      </c>
      <c r="C1007" t="str">
        <f t="shared" si="30"/>
        <v>A</v>
      </c>
      <c r="D1007" t="s">
        <v>20</v>
      </c>
      <c r="E1007" t="s">
        <v>10</v>
      </c>
      <c r="F1007" t="str">
        <f t="shared" si="31"/>
        <v>Mobile</v>
      </c>
      <c r="G1007">
        <v>4</v>
      </c>
      <c r="H1007">
        <v>0</v>
      </c>
      <c r="I1007">
        <v>0</v>
      </c>
    </row>
    <row r="1008" spans="1:9">
      <c r="A1008" t="s">
        <v>1026</v>
      </c>
      <c r="B1008" t="s">
        <v>15</v>
      </c>
      <c r="C1008" t="str">
        <f t="shared" si="30"/>
        <v>B</v>
      </c>
      <c r="D1008" t="s">
        <v>20</v>
      </c>
      <c r="E1008" t="s">
        <v>23</v>
      </c>
      <c r="F1008" t="str">
        <f t="shared" si="31"/>
        <v>Desktop</v>
      </c>
      <c r="G1008">
        <v>7</v>
      </c>
      <c r="H1008">
        <v>0</v>
      </c>
      <c r="I1008">
        <v>0</v>
      </c>
    </row>
    <row r="1009" spans="1:9">
      <c r="A1009" t="s">
        <v>1027</v>
      </c>
      <c r="B1009" t="s">
        <v>15</v>
      </c>
      <c r="C1009" t="str">
        <f t="shared" si="30"/>
        <v>B</v>
      </c>
      <c r="D1009" t="s">
        <v>20</v>
      </c>
      <c r="E1009" t="s">
        <v>23</v>
      </c>
      <c r="F1009" t="str">
        <f t="shared" si="31"/>
        <v>Desktop</v>
      </c>
      <c r="G1009">
        <v>11</v>
      </c>
      <c r="H1009">
        <v>0</v>
      </c>
      <c r="I1009">
        <v>0</v>
      </c>
    </row>
    <row r="1010" spans="1:9">
      <c r="A1010" t="s">
        <v>1028</v>
      </c>
      <c r="B1010" t="s">
        <v>8</v>
      </c>
      <c r="C1010" t="str">
        <f t="shared" si="30"/>
        <v>A</v>
      </c>
      <c r="D1010" t="s">
        <v>20</v>
      </c>
      <c r="E1010" t="s">
        <v>10</v>
      </c>
      <c r="F1010" t="str">
        <f t="shared" si="31"/>
        <v>Mobile</v>
      </c>
      <c r="G1010">
        <v>8</v>
      </c>
      <c r="H1010">
        <v>0</v>
      </c>
      <c r="I1010">
        <v>0</v>
      </c>
    </row>
    <row r="1011" spans="1:9">
      <c r="A1011" t="s">
        <v>1029</v>
      </c>
      <c r="B1011" t="s">
        <v>15</v>
      </c>
      <c r="C1011" t="str">
        <f t="shared" si="30"/>
        <v>B</v>
      </c>
      <c r="D1011" t="s">
        <v>20</v>
      </c>
      <c r="E1011" t="s">
        <v>10</v>
      </c>
      <c r="F1011" t="str">
        <f t="shared" si="31"/>
        <v>Mobile</v>
      </c>
      <c r="G1011">
        <v>10</v>
      </c>
      <c r="H1011">
        <v>1</v>
      </c>
      <c r="I1011">
        <v>1879.49</v>
      </c>
    </row>
    <row r="1012" spans="1:9">
      <c r="A1012" t="s">
        <v>1030</v>
      </c>
      <c r="B1012" t="s">
        <v>8</v>
      </c>
      <c r="C1012" t="str">
        <f t="shared" si="30"/>
        <v>A</v>
      </c>
      <c r="D1012" t="s">
        <v>13</v>
      </c>
      <c r="E1012" t="s">
        <v>16</v>
      </c>
      <c r="F1012" t="str">
        <f t="shared" si="31"/>
        <v>Mobile</v>
      </c>
      <c r="G1012">
        <v>7</v>
      </c>
      <c r="H1012">
        <v>0</v>
      </c>
      <c r="I1012">
        <v>0</v>
      </c>
    </row>
    <row r="1013" spans="1:9">
      <c r="A1013" t="s">
        <v>1031</v>
      </c>
      <c r="B1013" t="s">
        <v>12</v>
      </c>
      <c r="C1013" t="str">
        <f t="shared" si="30"/>
        <v>A</v>
      </c>
      <c r="D1013" t="s">
        <v>20</v>
      </c>
      <c r="E1013" t="s">
        <v>16</v>
      </c>
      <c r="F1013" t="str">
        <f t="shared" si="31"/>
        <v>Mobile</v>
      </c>
      <c r="G1013">
        <v>7</v>
      </c>
      <c r="H1013">
        <v>1</v>
      </c>
      <c r="I1013">
        <v>1321.55</v>
      </c>
    </row>
    <row r="1014" spans="1:9">
      <c r="A1014" t="s">
        <v>1032</v>
      </c>
      <c r="B1014" t="s">
        <v>29</v>
      </c>
      <c r="C1014" t="str">
        <f t="shared" si="30"/>
        <v>B</v>
      </c>
      <c r="D1014" t="s">
        <v>20</v>
      </c>
      <c r="E1014" t="s">
        <v>10</v>
      </c>
      <c r="F1014" t="str">
        <f t="shared" si="31"/>
        <v>Mobile</v>
      </c>
      <c r="G1014">
        <v>12</v>
      </c>
      <c r="H1014">
        <v>0</v>
      </c>
      <c r="I1014">
        <v>0</v>
      </c>
    </row>
    <row r="1015" spans="1:9">
      <c r="A1015" t="s">
        <v>1033</v>
      </c>
      <c r="B1015" t="s">
        <v>12</v>
      </c>
      <c r="C1015" t="str">
        <f t="shared" si="30"/>
        <v>A</v>
      </c>
      <c r="D1015" t="s">
        <v>20</v>
      </c>
      <c r="E1015" t="s">
        <v>10</v>
      </c>
      <c r="F1015" t="str">
        <f t="shared" si="31"/>
        <v>Mobile</v>
      </c>
      <c r="G1015">
        <v>11</v>
      </c>
      <c r="H1015">
        <v>0</v>
      </c>
      <c r="I1015">
        <v>0</v>
      </c>
    </row>
    <row r="1016" spans="1:9">
      <c r="A1016" t="s">
        <v>1034</v>
      </c>
      <c r="B1016" t="s">
        <v>15</v>
      </c>
      <c r="C1016" t="str">
        <f t="shared" si="30"/>
        <v>B</v>
      </c>
      <c r="D1016" t="s">
        <v>20</v>
      </c>
      <c r="E1016" t="s">
        <v>10</v>
      </c>
      <c r="F1016" t="str">
        <f t="shared" si="31"/>
        <v>Mobile</v>
      </c>
      <c r="G1016">
        <v>5</v>
      </c>
      <c r="H1016">
        <v>0</v>
      </c>
      <c r="I1016">
        <v>0</v>
      </c>
    </row>
    <row r="1017" spans="1:9">
      <c r="A1017" t="s">
        <v>1035</v>
      </c>
      <c r="B1017" t="s">
        <v>15</v>
      </c>
      <c r="C1017" t="str">
        <f t="shared" si="30"/>
        <v>B</v>
      </c>
      <c r="D1017" t="s">
        <v>18</v>
      </c>
      <c r="E1017" t="s">
        <v>16</v>
      </c>
      <c r="F1017" t="str">
        <f t="shared" si="31"/>
        <v>Mobile</v>
      </c>
      <c r="G1017">
        <v>6</v>
      </c>
      <c r="H1017">
        <v>0</v>
      </c>
      <c r="I1017">
        <v>0</v>
      </c>
    </row>
    <row r="1018" spans="1:9">
      <c r="A1018" t="s">
        <v>1036</v>
      </c>
      <c r="B1018" t="s">
        <v>15</v>
      </c>
      <c r="C1018" t="str">
        <f t="shared" si="30"/>
        <v>B</v>
      </c>
      <c r="D1018" t="s">
        <v>13</v>
      </c>
      <c r="E1018" t="s">
        <v>10</v>
      </c>
      <c r="F1018" t="str">
        <f t="shared" si="31"/>
        <v>Mobile</v>
      </c>
      <c r="G1018">
        <v>5</v>
      </c>
      <c r="H1018">
        <v>0</v>
      </c>
      <c r="I1018">
        <v>0</v>
      </c>
    </row>
    <row r="1019" spans="1:9">
      <c r="A1019" t="s">
        <v>1037</v>
      </c>
      <c r="B1019" t="s">
        <v>8</v>
      </c>
      <c r="C1019" t="str">
        <f t="shared" si="30"/>
        <v>A</v>
      </c>
      <c r="D1019" t="s">
        <v>18</v>
      </c>
      <c r="E1019" t="s">
        <v>23</v>
      </c>
      <c r="F1019" t="str">
        <f t="shared" si="31"/>
        <v>Desktop</v>
      </c>
      <c r="G1019">
        <v>7</v>
      </c>
      <c r="H1019">
        <v>0</v>
      </c>
      <c r="I1019">
        <v>0</v>
      </c>
    </row>
    <row r="1020" spans="1:9">
      <c r="A1020" t="s">
        <v>1038</v>
      </c>
      <c r="B1020" t="s">
        <v>15</v>
      </c>
      <c r="C1020" t="str">
        <f t="shared" si="30"/>
        <v>B</v>
      </c>
      <c r="D1020" t="s">
        <v>13</v>
      </c>
      <c r="E1020" t="s">
        <v>10</v>
      </c>
      <c r="F1020" t="str">
        <f t="shared" si="31"/>
        <v>Mobile</v>
      </c>
      <c r="G1020">
        <v>6</v>
      </c>
      <c r="H1020">
        <v>0</v>
      </c>
      <c r="I1020">
        <v>0</v>
      </c>
    </row>
    <row r="1021" spans="1:9">
      <c r="A1021" t="s">
        <v>1039</v>
      </c>
      <c r="B1021" t="s">
        <v>8</v>
      </c>
      <c r="C1021" t="str">
        <f t="shared" si="30"/>
        <v>A</v>
      </c>
      <c r="D1021" t="s">
        <v>20</v>
      </c>
      <c r="E1021" t="s">
        <v>23</v>
      </c>
      <c r="F1021" t="str">
        <f t="shared" si="31"/>
        <v>Desktop</v>
      </c>
      <c r="G1021">
        <v>4</v>
      </c>
      <c r="H1021">
        <v>0</v>
      </c>
      <c r="I1021">
        <v>0</v>
      </c>
    </row>
    <row r="1022" spans="1:9">
      <c r="A1022" t="s">
        <v>1040</v>
      </c>
      <c r="B1022" t="s">
        <v>15</v>
      </c>
      <c r="C1022" t="str">
        <f t="shared" si="30"/>
        <v>B</v>
      </c>
      <c r="D1022" t="s">
        <v>9</v>
      </c>
      <c r="E1022" t="s">
        <v>10</v>
      </c>
      <c r="F1022" t="str">
        <f t="shared" si="31"/>
        <v>Mobile</v>
      </c>
      <c r="G1022">
        <v>7</v>
      </c>
      <c r="H1022">
        <v>0</v>
      </c>
      <c r="I1022">
        <v>0</v>
      </c>
    </row>
    <row r="1023" spans="1:9">
      <c r="A1023" t="s">
        <v>1041</v>
      </c>
      <c r="B1023" t="s">
        <v>8</v>
      </c>
      <c r="C1023" t="str">
        <f t="shared" si="30"/>
        <v>A</v>
      </c>
      <c r="D1023" t="s">
        <v>20</v>
      </c>
      <c r="E1023" t="s">
        <v>23</v>
      </c>
      <c r="F1023" t="str">
        <f t="shared" si="31"/>
        <v>Desktop</v>
      </c>
      <c r="G1023">
        <v>4</v>
      </c>
      <c r="H1023">
        <v>0</v>
      </c>
      <c r="I1023">
        <v>0</v>
      </c>
    </row>
    <row r="1024" spans="1:9">
      <c r="A1024" t="s">
        <v>1042</v>
      </c>
      <c r="B1024" t="s">
        <v>8</v>
      </c>
      <c r="C1024" t="str">
        <f t="shared" si="30"/>
        <v>A</v>
      </c>
      <c r="D1024" t="s">
        <v>20</v>
      </c>
      <c r="E1024" t="s">
        <v>10</v>
      </c>
      <c r="F1024" t="str">
        <f t="shared" si="31"/>
        <v>Mobile</v>
      </c>
      <c r="G1024">
        <v>6</v>
      </c>
      <c r="H1024">
        <v>0</v>
      </c>
      <c r="I1024">
        <v>0</v>
      </c>
    </row>
    <row r="1025" spans="1:9">
      <c r="A1025" t="s">
        <v>1043</v>
      </c>
      <c r="B1025" t="s">
        <v>8</v>
      </c>
      <c r="C1025" t="str">
        <f t="shared" si="30"/>
        <v>A</v>
      </c>
      <c r="D1025" t="s">
        <v>20</v>
      </c>
      <c r="E1025" t="s">
        <v>23</v>
      </c>
      <c r="F1025" t="str">
        <f t="shared" si="31"/>
        <v>Desktop</v>
      </c>
      <c r="G1025">
        <v>9</v>
      </c>
      <c r="H1025">
        <v>0</v>
      </c>
      <c r="I1025">
        <v>0</v>
      </c>
    </row>
    <row r="1026" spans="1:9">
      <c r="A1026" t="s">
        <v>1044</v>
      </c>
      <c r="B1026" t="s">
        <v>15</v>
      </c>
      <c r="C1026" t="str">
        <f t="shared" ref="C1026:C1089" si="32">IF(OR(B1026="control", B1026="A"), "A", "B")</f>
        <v>B</v>
      </c>
      <c r="D1026" t="s">
        <v>20</v>
      </c>
      <c r="E1026" t="s">
        <v>10</v>
      </c>
      <c r="F1026" t="str">
        <f t="shared" ref="F1026:F1089" si="33">PROPER(E1026)</f>
        <v>Mobile</v>
      </c>
      <c r="G1026">
        <v>3</v>
      </c>
      <c r="H1026">
        <v>1</v>
      </c>
      <c r="I1026">
        <v>1749.02</v>
      </c>
    </row>
    <row r="1027" spans="1:9">
      <c r="A1027" t="s">
        <v>1045</v>
      </c>
      <c r="B1027" t="s">
        <v>8</v>
      </c>
      <c r="C1027" t="str">
        <f t="shared" si="32"/>
        <v>A</v>
      </c>
      <c r="D1027" t="s">
        <v>20</v>
      </c>
      <c r="E1027" t="s">
        <v>23</v>
      </c>
      <c r="F1027" t="str">
        <f t="shared" si="33"/>
        <v>Desktop</v>
      </c>
      <c r="G1027">
        <v>8</v>
      </c>
      <c r="H1027">
        <v>0</v>
      </c>
      <c r="I1027">
        <v>0</v>
      </c>
    </row>
    <row r="1028" spans="1:9">
      <c r="A1028" t="s">
        <v>1046</v>
      </c>
      <c r="B1028" t="s">
        <v>15</v>
      </c>
      <c r="C1028" t="str">
        <f t="shared" si="32"/>
        <v>B</v>
      </c>
      <c r="D1028" t="s">
        <v>20</v>
      </c>
      <c r="E1028" t="s">
        <v>16</v>
      </c>
      <c r="F1028" t="str">
        <f t="shared" si="33"/>
        <v>Mobile</v>
      </c>
      <c r="G1028">
        <v>6</v>
      </c>
      <c r="H1028">
        <v>0</v>
      </c>
      <c r="I1028">
        <v>0</v>
      </c>
    </row>
    <row r="1029" spans="1:9">
      <c r="A1029" t="s">
        <v>1047</v>
      </c>
      <c r="B1029" t="s">
        <v>8</v>
      </c>
      <c r="C1029" t="str">
        <f t="shared" si="32"/>
        <v>A</v>
      </c>
      <c r="D1029" t="s">
        <v>13</v>
      </c>
      <c r="E1029" t="s">
        <v>10</v>
      </c>
      <c r="F1029" t="str">
        <f t="shared" si="33"/>
        <v>Mobile</v>
      </c>
      <c r="G1029">
        <v>7</v>
      </c>
      <c r="H1029">
        <v>0</v>
      </c>
      <c r="I1029">
        <v>0</v>
      </c>
    </row>
    <row r="1030" spans="1:9">
      <c r="A1030" t="s">
        <v>1048</v>
      </c>
      <c r="B1030" t="s">
        <v>8</v>
      </c>
      <c r="C1030" t="str">
        <f t="shared" si="32"/>
        <v>A</v>
      </c>
      <c r="D1030" t="s">
        <v>20</v>
      </c>
      <c r="E1030" t="s">
        <v>16</v>
      </c>
      <c r="F1030" t="str">
        <f t="shared" si="33"/>
        <v>Mobile</v>
      </c>
      <c r="G1030">
        <v>5</v>
      </c>
      <c r="H1030">
        <v>0</v>
      </c>
      <c r="I1030">
        <v>0</v>
      </c>
    </row>
    <row r="1031" spans="1:9">
      <c r="A1031" t="s">
        <v>1049</v>
      </c>
      <c r="B1031" t="s">
        <v>15</v>
      </c>
      <c r="C1031" t="str">
        <f t="shared" si="32"/>
        <v>B</v>
      </c>
      <c r="D1031" t="s">
        <v>20</v>
      </c>
      <c r="E1031" t="s">
        <v>23</v>
      </c>
      <c r="F1031" t="str">
        <f t="shared" si="33"/>
        <v>Desktop</v>
      </c>
      <c r="G1031">
        <v>6</v>
      </c>
      <c r="H1031">
        <v>0</v>
      </c>
      <c r="I1031">
        <v>0</v>
      </c>
    </row>
    <row r="1032" spans="1:9">
      <c r="A1032" t="s">
        <v>1050</v>
      </c>
      <c r="B1032" t="s">
        <v>15</v>
      </c>
      <c r="C1032" t="str">
        <f t="shared" si="32"/>
        <v>B</v>
      </c>
      <c r="D1032" t="s">
        <v>9</v>
      </c>
      <c r="E1032" t="s">
        <v>10</v>
      </c>
      <c r="F1032" t="str">
        <f t="shared" si="33"/>
        <v>Mobile</v>
      </c>
      <c r="G1032">
        <v>4</v>
      </c>
      <c r="H1032">
        <v>0</v>
      </c>
      <c r="I1032">
        <v>0</v>
      </c>
    </row>
    <row r="1033" spans="1:9">
      <c r="A1033" t="s">
        <v>1051</v>
      </c>
      <c r="B1033" t="s">
        <v>8</v>
      </c>
      <c r="C1033" t="str">
        <f t="shared" si="32"/>
        <v>A</v>
      </c>
      <c r="D1033" t="s">
        <v>20</v>
      </c>
      <c r="E1033" t="s">
        <v>10</v>
      </c>
      <c r="F1033" t="str">
        <f t="shared" si="33"/>
        <v>Mobile</v>
      </c>
      <c r="G1033">
        <v>10</v>
      </c>
      <c r="H1033">
        <v>1</v>
      </c>
      <c r="I1033">
        <v>1372.1</v>
      </c>
    </row>
    <row r="1034" spans="1:9">
      <c r="A1034" t="s">
        <v>1052</v>
      </c>
      <c r="B1034" t="s">
        <v>15</v>
      </c>
      <c r="C1034" t="str">
        <f t="shared" si="32"/>
        <v>B</v>
      </c>
      <c r="D1034" t="s">
        <v>20</v>
      </c>
      <c r="E1034" t="s">
        <v>10</v>
      </c>
      <c r="F1034" t="str">
        <f t="shared" si="33"/>
        <v>Mobile</v>
      </c>
      <c r="G1034">
        <v>8</v>
      </c>
      <c r="H1034">
        <v>0</v>
      </c>
      <c r="I1034">
        <v>0</v>
      </c>
    </row>
    <row r="1035" spans="1:9">
      <c r="A1035" t="s">
        <v>1053</v>
      </c>
      <c r="B1035" t="s">
        <v>15</v>
      </c>
      <c r="C1035" t="str">
        <f t="shared" si="32"/>
        <v>B</v>
      </c>
      <c r="D1035" t="s">
        <v>9</v>
      </c>
      <c r="E1035" t="s">
        <v>23</v>
      </c>
      <c r="F1035" t="str">
        <f t="shared" si="33"/>
        <v>Desktop</v>
      </c>
      <c r="G1035">
        <v>6</v>
      </c>
      <c r="H1035">
        <v>0</v>
      </c>
      <c r="I1035">
        <v>0</v>
      </c>
    </row>
    <row r="1036" spans="1:9">
      <c r="A1036" t="s">
        <v>1054</v>
      </c>
      <c r="B1036" t="s">
        <v>15</v>
      </c>
      <c r="C1036" t="str">
        <f t="shared" si="32"/>
        <v>B</v>
      </c>
      <c r="D1036" t="s">
        <v>20</v>
      </c>
      <c r="E1036" t="s">
        <v>23</v>
      </c>
      <c r="F1036" t="str">
        <f t="shared" si="33"/>
        <v>Desktop</v>
      </c>
      <c r="G1036">
        <v>8</v>
      </c>
      <c r="H1036">
        <v>0</v>
      </c>
      <c r="I1036">
        <v>0</v>
      </c>
    </row>
    <row r="1037" spans="1:9">
      <c r="A1037" t="s">
        <v>1055</v>
      </c>
      <c r="B1037" t="s">
        <v>8</v>
      </c>
      <c r="C1037" t="str">
        <f t="shared" si="32"/>
        <v>A</v>
      </c>
      <c r="D1037" t="s">
        <v>20</v>
      </c>
      <c r="E1037" t="s">
        <v>10</v>
      </c>
      <c r="F1037" t="str">
        <f t="shared" si="33"/>
        <v>Mobile</v>
      </c>
      <c r="G1037">
        <v>4</v>
      </c>
      <c r="H1037">
        <v>0</v>
      </c>
      <c r="I1037">
        <v>0</v>
      </c>
    </row>
    <row r="1038" spans="1:9">
      <c r="A1038" t="s">
        <v>1056</v>
      </c>
      <c r="B1038" t="s">
        <v>8</v>
      </c>
      <c r="C1038" t="str">
        <f t="shared" si="32"/>
        <v>A</v>
      </c>
      <c r="D1038" t="s">
        <v>13</v>
      </c>
      <c r="E1038" t="s">
        <v>10</v>
      </c>
      <c r="F1038" t="str">
        <f t="shared" si="33"/>
        <v>Mobile</v>
      </c>
      <c r="G1038">
        <v>2</v>
      </c>
      <c r="H1038">
        <v>0</v>
      </c>
      <c r="I1038">
        <v>0</v>
      </c>
    </row>
    <row r="1039" spans="1:9">
      <c r="A1039" t="s">
        <v>1057</v>
      </c>
      <c r="B1039" t="s">
        <v>15</v>
      </c>
      <c r="C1039" t="str">
        <f t="shared" si="32"/>
        <v>B</v>
      </c>
      <c r="D1039" t="s">
        <v>20</v>
      </c>
      <c r="E1039" t="s">
        <v>23</v>
      </c>
      <c r="F1039" t="str">
        <f t="shared" si="33"/>
        <v>Desktop</v>
      </c>
      <c r="G1039">
        <v>4</v>
      </c>
      <c r="H1039">
        <v>0</v>
      </c>
      <c r="I1039">
        <v>0</v>
      </c>
    </row>
    <row r="1040" spans="1:9">
      <c r="A1040" t="s">
        <v>1058</v>
      </c>
      <c r="B1040" t="s">
        <v>8</v>
      </c>
      <c r="C1040" t="str">
        <f t="shared" si="32"/>
        <v>A</v>
      </c>
      <c r="D1040" t="s">
        <v>13</v>
      </c>
      <c r="E1040" t="s">
        <v>33</v>
      </c>
      <c r="F1040" t="str">
        <f t="shared" si="33"/>
        <v>Desktop</v>
      </c>
      <c r="G1040">
        <v>11</v>
      </c>
      <c r="H1040">
        <v>0</v>
      </c>
      <c r="I1040">
        <v>0</v>
      </c>
    </row>
    <row r="1041" spans="1:9">
      <c r="A1041" t="s">
        <v>1059</v>
      </c>
      <c r="B1041" t="s">
        <v>15</v>
      </c>
      <c r="C1041" t="str">
        <f t="shared" si="32"/>
        <v>B</v>
      </c>
      <c r="D1041" t="s">
        <v>9</v>
      </c>
      <c r="E1041" t="s">
        <v>10</v>
      </c>
      <c r="F1041" t="str">
        <f t="shared" si="33"/>
        <v>Mobile</v>
      </c>
      <c r="G1041">
        <v>6</v>
      </c>
      <c r="H1041">
        <v>0</v>
      </c>
      <c r="I1041">
        <v>0</v>
      </c>
    </row>
    <row r="1042" spans="1:9">
      <c r="A1042" t="s">
        <v>1060</v>
      </c>
      <c r="B1042" t="s">
        <v>15</v>
      </c>
      <c r="C1042" t="str">
        <f t="shared" si="32"/>
        <v>B</v>
      </c>
      <c r="D1042" t="s">
        <v>20</v>
      </c>
      <c r="E1042" t="s">
        <v>33</v>
      </c>
      <c r="F1042" t="str">
        <f t="shared" si="33"/>
        <v>Desktop</v>
      </c>
      <c r="G1042">
        <v>10</v>
      </c>
      <c r="H1042">
        <v>0</v>
      </c>
      <c r="I1042">
        <v>0</v>
      </c>
    </row>
    <row r="1043" spans="1:9">
      <c r="A1043" t="s">
        <v>1061</v>
      </c>
      <c r="B1043" t="s">
        <v>12</v>
      </c>
      <c r="C1043" t="str">
        <f t="shared" si="32"/>
        <v>A</v>
      </c>
      <c r="D1043" t="s">
        <v>13</v>
      </c>
      <c r="E1043" t="s">
        <v>23</v>
      </c>
      <c r="F1043" t="str">
        <f t="shared" si="33"/>
        <v>Desktop</v>
      </c>
      <c r="G1043">
        <v>8</v>
      </c>
      <c r="H1043">
        <v>0</v>
      </c>
      <c r="I1043">
        <v>0</v>
      </c>
    </row>
    <row r="1044" spans="1:9">
      <c r="A1044" t="s">
        <v>1062</v>
      </c>
      <c r="B1044" t="s">
        <v>15</v>
      </c>
      <c r="C1044" t="str">
        <f t="shared" si="32"/>
        <v>B</v>
      </c>
      <c r="D1044" t="s">
        <v>13</v>
      </c>
      <c r="E1044" t="s">
        <v>10</v>
      </c>
      <c r="F1044" t="str">
        <f t="shared" si="33"/>
        <v>Mobile</v>
      </c>
      <c r="G1044">
        <v>5</v>
      </c>
      <c r="H1044">
        <v>0</v>
      </c>
      <c r="I1044">
        <v>0</v>
      </c>
    </row>
    <row r="1045" spans="1:9">
      <c r="A1045" t="s">
        <v>1063</v>
      </c>
      <c r="B1045" t="s">
        <v>29</v>
      </c>
      <c r="C1045" t="str">
        <f t="shared" si="32"/>
        <v>B</v>
      </c>
      <c r="D1045" t="s">
        <v>20</v>
      </c>
      <c r="E1045" t="s">
        <v>16</v>
      </c>
      <c r="F1045" t="str">
        <f t="shared" si="33"/>
        <v>Mobile</v>
      </c>
      <c r="G1045">
        <v>6</v>
      </c>
      <c r="H1045">
        <v>0</v>
      </c>
      <c r="I1045">
        <v>0</v>
      </c>
    </row>
    <row r="1046" spans="1:9">
      <c r="A1046" t="s">
        <v>1064</v>
      </c>
      <c r="B1046" t="s">
        <v>8</v>
      </c>
      <c r="C1046" t="str">
        <f t="shared" si="32"/>
        <v>A</v>
      </c>
      <c r="D1046" t="s">
        <v>13</v>
      </c>
      <c r="E1046" t="s">
        <v>10</v>
      </c>
      <c r="F1046" t="str">
        <f t="shared" si="33"/>
        <v>Mobile</v>
      </c>
      <c r="G1046">
        <v>4</v>
      </c>
      <c r="H1046">
        <v>1</v>
      </c>
      <c r="I1046">
        <v>2213.87</v>
      </c>
    </row>
    <row r="1047" spans="1:9">
      <c r="A1047" t="s">
        <v>1065</v>
      </c>
      <c r="B1047" t="s">
        <v>15</v>
      </c>
      <c r="C1047" t="str">
        <f t="shared" si="32"/>
        <v>B</v>
      </c>
      <c r="D1047" t="s">
        <v>20</v>
      </c>
      <c r="E1047" t="s">
        <v>10</v>
      </c>
      <c r="F1047" t="str">
        <f t="shared" si="33"/>
        <v>Mobile</v>
      </c>
      <c r="G1047">
        <v>8</v>
      </c>
      <c r="H1047">
        <v>0</v>
      </c>
      <c r="I1047">
        <v>0</v>
      </c>
    </row>
    <row r="1048" spans="1:9">
      <c r="A1048" t="s">
        <v>1066</v>
      </c>
      <c r="B1048" t="s">
        <v>8</v>
      </c>
      <c r="C1048" t="str">
        <f t="shared" si="32"/>
        <v>A</v>
      </c>
      <c r="D1048" t="s">
        <v>13</v>
      </c>
      <c r="E1048" t="s">
        <v>10</v>
      </c>
      <c r="F1048" t="str">
        <f t="shared" si="33"/>
        <v>Mobile</v>
      </c>
      <c r="G1048">
        <v>3</v>
      </c>
      <c r="H1048">
        <v>0</v>
      </c>
      <c r="I1048">
        <v>0</v>
      </c>
    </row>
    <row r="1049" spans="1:9">
      <c r="A1049" t="s">
        <v>1067</v>
      </c>
      <c r="B1049" t="s">
        <v>15</v>
      </c>
      <c r="C1049" t="str">
        <f t="shared" si="32"/>
        <v>B</v>
      </c>
      <c r="D1049" t="s">
        <v>20</v>
      </c>
      <c r="E1049" t="s">
        <v>16</v>
      </c>
      <c r="F1049" t="str">
        <f t="shared" si="33"/>
        <v>Mobile</v>
      </c>
      <c r="G1049">
        <v>1</v>
      </c>
      <c r="H1049">
        <v>0</v>
      </c>
      <c r="I1049">
        <v>0</v>
      </c>
    </row>
    <row r="1050" spans="1:9">
      <c r="A1050" t="s">
        <v>1068</v>
      </c>
      <c r="B1050" t="s">
        <v>15</v>
      </c>
      <c r="C1050" t="str">
        <f t="shared" si="32"/>
        <v>B</v>
      </c>
      <c r="D1050" t="s">
        <v>13</v>
      </c>
      <c r="E1050" t="s">
        <v>16</v>
      </c>
      <c r="F1050" t="str">
        <f t="shared" si="33"/>
        <v>Mobile</v>
      </c>
      <c r="G1050">
        <v>3</v>
      </c>
      <c r="H1050">
        <v>0</v>
      </c>
      <c r="I1050">
        <v>0</v>
      </c>
    </row>
    <row r="1051" spans="1:9">
      <c r="A1051" t="s">
        <v>1069</v>
      </c>
      <c r="B1051" t="s">
        <v>15</v>
      </c>
      <c r="C1051" t="str">
        <f t="shared" si="32"/>
        <v>B</v>
      </c>
      <c r="D1051" t="s">
        <v>20</v>
      </c>
      <c r="E1051" t="s">
        <v>10</v>
      </c>
      <c r="F1051" t="str">
        <f t="shared" si="33"/>
        <v>Mobile</v>
      </c>
      <c r="G1051">
        <v>5</v>
      </c>
      <c r="H1051">
        <v>0</v>
      </c>
      <c r="I1051">
        <v>0</v>
      </c>
    </row>
    <row r="1052" spans="1:9">
      <c r="A1052" t="s">
        <v>1070</v>
      </c>
      <c r="B1052" t="s">
        <v>29</v>
      </c>
      <c r="C1052" t="str">
        <f t="shared" si="32"/>
        <v>B</v>
      </c>
      <c r="D1052" t="s">
        <v>9</v>
      </c>
      <c r="E1052" t="s">
        <v>10</v>
      </c>
      <c r="F1052" t="str">
        <f t="shared" si="33"/>
        <v>Mobile</v>
      </c>
      <c r="G1052">
        <v>5</v>
      </c>
      <c r="H1052">
        <v>0</v>
      </c>
      <c r="I1052">
        <v>0</v>
      </c>
    </row>
    <row r="1053" spans="1:9">
      <c r="A1053" t="s">
        <v>1071</v>
      </c>
      <c r="B1053" t="s">
        <v>15</v>
      </c>
      <c r="C1053" t="str">
        <f t="shared" si="32"/>
        <v>B</v>
      </c>
      <c r="D1053" t="s">
        <v>20</v>
      </c>
      <c r="E1053" t="s">
        <v>10</v>
      </c>
      <c r="F1053" t="str">
        <f t="shared" si="33"/>
        <v>Mobile</v>
      </c>
      <c r="G1053">
        <v>9</v>
      </c>
      <c r="H1053">
        <v>1</v>
      </c>
      <c r="I1053">
        <v>1761.95</v>
      </c>
    </row>
    <row r="1054" spans="1:9">
      <c r="A1054" t="s">
        <v>1072</v>
      </c>
      <c r="B1054" t="s">
        <v>8</v>
      </c>
      <c r="C1054" t="str">
        <f t="shared" si="32"/>
        <v>A</v>
      </c>
      <c r="D1054" t="s">
        <v>20</v>
      </c>
      <c r="E1054" t="s">
        <v>23</v>
      </c>
      <c r="F1054" t="str">
        <f t="shared" si="33"/>
        <v>Desktop</v>
      </c>
      <c r="G1054">
        <v>5</v>
      </c>
      <c r="H1054">
        <v>0</v>
      </c>
      <c r="I1054">
        <v>0</v>
      </c>
    </row>
    <row r="1055" spans="1:9">
      <c r="A1055" t="s">
        <v>1073</v>
      </c>
      <c r="B1055" t="s">
        <v>8</v>
      </c>
      <c r="C1055" t="str">
        <f t="shared" si="32"/>
        <v>A</v>
      </c>
      <c r="D1055" t="s">
        <v>13</v>
      </c>
      <c r="E1055" t="s">
        <v>10</v>
      </c>
      <c r="F1055" t="str">
        <f t="shared" si="33"/>
        <v>Mobile</v>
      </c>
      <c r="G1055">
        <v>7</v>
      </c>
      <c r="H1055">
        <v>0</v>
      </c>
      <c r="I1055">
        <v>0</v>
      </c>
    </row>
    <row r="1056" spans="1:9">
      <c r="A1056" t="s">
        <v>1074</v>
      </c>
      <c r="B1056" t="s">
        <v>15</v>
      </c>
      <c r="C1056" t="str">
        <f t="shared" si="32"/>
        <v>B</v>
      </c>
      <c r="D1056" t="s">
        <v>13</v>
      </c>
      <c r="E1056" t="s">
        <v>23</v>
      </c>
      <c r="F1056" t="str">
        <f t="shared" si="33"/>
        <v>Desktop</v>
      </c>
      <c r="G1056">
        <v>5</v>
      </c>
      <c r="H1056">
        <v>0</v>
      </c>
      <c r="I1056">
        <v>0</v>
      </c>
    </row>
    <row r="1057" spans="1:9">
      <c r="A1057" t="s">
        <v>1075</v>
      </c>
      <c r="B1057" t="s">
        <v>8</v>
      </c>
      <c r="C1057" t="str">
        <f t="shared" si="32"/>
        <v>A</v>
      </c>
      <c r="D1057" t="s">
        <v>13</v>
      </c>
      <c r="E1057" t="s">
        <v>10</v>
      </c>
      <c r="F1057" t="str">
        <f t="shared" si="33"/>
        <v>Mobile</v>
      </c>
      <c r="G1057">
        <v>5</v>
      </c>
      <c r="H1057">
        <v>1</v>
      </c>
      <c r="I1057">
        <v>2585.87</v>
      </c>
    </row>
    <row r="1058" spans="1:9">
      <c r="A1058" t="s">
        <v>1076</v>
      </c>
      <c r="B1058" t="s">
        <v>8</v>
      </c>
      <c r="C1058" t="str">
        <f t="shared" si="32"/>
        <v>A</v>
      </c>
      <c r="D1058" t="s">
        <v>13</v>
      </c>
      <c r="E1058" t="s">
        <v>10</v>
      </c>
      <c r="F1058" t="str">
        <f t="shared" si="33"/>
        <v>Mobile</v>
      </c>
      <c r="G1058">
        <v>9</v>
      </c>
      <c r="H1058">
        <v>0</v>
      </c>
      <c r="I1058">
        <v>0</v>
      </c>
    </row>
    <row r="1059" spans="1:9">
      <c r="A1059" t="s">
        <v>1077</v>
      </c>
      <c r="B1059" t="s">
        <v>8</v>
      </c>
      <c r="C1059" t="str">
        <f t="shared" si="32"/>
        <v>A</v>
      </c>
      <c r="D1059" t="s">
        <v>9</v>
      </c>
      <c r="E1059" t="s">
        <v>10</v>
      </c>
      <c r="F1059" t="str">
        <f t="shared" si="33"/>
        <v>Mobile</v>
      </c>
      <c r="G1059">
        <v>7</v>
      </c>
      <c r="H1059">
        <v>0</v>
      </c>
      <c r="I1059">
        <v>0</v>
      </c>
    </row>
    <row r="1060" spans="1:9">
      <c r="A1060" t="s">
        <v>1078</v>
      </c>
      <c r="B1060" t="s">
        <v>8</v>
      </c>
      <c r="C1060" t="str">
        <f t="shared" si="32"/>
        <v>A</v>
      </c>
      <c r="D1060" t="s">
        <v>9</v>
      </c>
      <c r="E1060" t="s">
        <v>10</v>
      </c>
      <c r="F1060" t="str">
        <f t="shared" si="33"/>
        <v>Mobile</v>
      </c>
      <c r="G1060">
        <v>5</v>
      </c>
      <c r="H1060">
        <v>0</v>
      </c>
      <c r="I1060">
        <v>0</v>
      </c>
    </row>
    <row r="1061" spans="1:9">
      <c r="A1061" t="s">
        <v>1079</v>
      </c>
      <c r="B1061" t="s">
        <v>8</v>
      </c>
      <c r="C1061" t="str">
        <f t="shared" si="32"/>
        <v>A</v>
      </c>
      <c r="D1061" t="s">
        <v>20</v>
      </c>
      <c r="E1061" t="s">
        <v>33</v>
      </c>
      <c r="F1061" t="str">
        <f t="shared" si="33"/>
        <v>Desktop</v>
      </c>
      <c r="G1061">
        <v>8</v>
      </c>
      <c r="H1061">
        <v>1</v>
      </c>
      <c r="I1061">
        <v>1329.5</v>
      </c>
    </row>
    <row r="1062" spans="1:9">
      <c r="A1062" t="s">
        <v>1080</v>
      </c>
      <c r="B1062" t="s">
        <v>8</v>
      </c>
      <c r="C1062" t="str">
        <f t="shared" si="32"/>
        <v>A</v>
      </c>
      <c r="D1062" t="s">
        <v>13</v>
      </c>
      <c r="E1062" t="s">
        <v>10</v>
      </c>
      <c r="F1062" t="str">
        <f t="shared" si="33"/>
        <v>Mobile</v>
      </c>
      <c r="G1062">
        <v>12</v>
      </c>
      <c r="H1062">
        <v>1</v>
      </c>
      <c r="I1062">
        <v>2314.91</v>
      </c>
    </row>
    <row r="1063" spans="1:9">
      <c r="A1063" t="s">
        <v>1081</v>
      </c>
      <c r="B1063" t="s">
        <v>8</v>
      </c>
      <c r="C1063" t="str">
        <f t="shared" si="32"/>
        <v>A</v>
      </c>
      <c r="D1063" t="s">
        <v>9</v>
      </c>
      <c r="E1063" t="s">
        <v>10</v>
      </c>
      <c r="F1063" t="str">
        <f t="shared" si="33"/>
        <v>Mobile</v>
      </c>
      <c r="G1063">
        <v>5</v>
      </c>
      <c r="H1063">
        <v>0</v>
      </c>
      <c r="I1063">
        <v>0</v>
      </c>
    </row>
    <row r="1064" spans="1:9">
      <c r="A1064" t="s">
        <v>1082</v>
      </c>
      <c r="B1064" t="s">
        <v>8</v>
      </c>
      <c r="C1064" t="str">
        <f t="shared" si="32"/>
        <v>A</v>
      </c>
      <c r="D1064" t="s">
        <v>18</v>
      </c>
      <c r="E1064" t="s">
        <v>10</v>
      </c>
      <c r="F1064" t="str">
        <f t="shared" si="33"/>
        <v>Mobile</v>
      </c>
      <c r="G1064">
        <v>3</v>
      </c>
      <c r="H1064">
        <v>0</v>
      </c>
      <c r="I1064">
        <v>0</v>
      </c>
    </row>
    <row r="1065" spans="1:9">
      <c r="A1065" t="s">
        <v>1083</v>
      </c>
      <c r="B1065" t="s">
        <v>29</v>
      </c>
      <c r="C1065" t="str">
        <f t="shared" si="32"/>
        <v>B</v>
      </c>
      <c r="D1065" t="s">
        <v>9</v>
      </c>
      <c r="E1065" t="s">
        <v>10</v>
      </c>
      <c r="F1065" t="str">
        <f t="shared" si="33"/>
        <v>Mobile</v>
      </c>
      <c r="G1065">
        <v>4</v>
      </c>
      <c r="H1065">
        <v>1</v>
      </c>
      <c r="I1065">
        <v>5470.07</v>
      </c>
    </row>
    <row r="1066" spans="1:9">
      <c r="A1066" t="s">
        <v>1084</v>
      </c>
      <c r="B1066" t="s">
        <v>8</v>
      </c>
      <c r="C1066" t="str">
        <f t="shared" si="32"/>
        <v>A</v>
      </c>
      <c r="D1066" t="s">
        <v>20</v>
      </c>
      <c r="E1066" t="s">
        <v>10</v>
      </c>
      <c r="F1066" t="str">
        <f t="shared" si="33"/>
        <v>Mobile</v>
      </c>
      <c r="G1066">
        <v>10</v>
      </c>
      <c r="H1066">
        <v>0</v>
      </c>
      <c r="I1066">
        <v>0</v>
      </c>
    </row>
    <row r="1067" spans="1:9">
      <c r="A1067" t="s">
        <v>1085</v>
      </c>
      <c r="B1067" t="s">
        <v>8</v>
      </c>
      <c r="C1067" t="str">
        <f t="shared" si="32"/>
        <v>A</v>
      </c>
      <c r="D1067" t="s">
        <v>20</v>
      </c>
      <c r="E1067" t="s">
        <v>10</v>
      </c>
      <c r="F1067" t="str">
        <f t="shared" si="33"/>
        <v>Mobile</v>
      </c>
      <c r="G1067">
        <v>6</v>
      </c>
      <c r="H1067">
        <v>0</v>
      </c>
      <c r="I1067">
        <v>0</v>
      </c>
    </row>
    <row r="1068" spans="1:9">
      <c r="A1068" t="s">
        <v>1086</v>
      </c>
      <c r="B1068" t="s">
        <v>15</v>
      </c>
      <c r="C1068" t="str">
        <f t="shared" si="32"/>
        <v>B</v>
      </c>
      <c r="D1068" t="s">
        <v>13</v>
      </c>
      <c r="E1068" t="s">
        <v>23</v>
      </c>
      <c r="F1068" t="str">
        <f t="shared" si="33"/>
        <v>Desktop</v>
      </c>
      <c r="G1068">
        <v>7</v>
      </c>
      <c r="H1068">
        <v>0</v>
      </c>
      <c r="I1068">
        <v>0</v>
      </c>
    </row>
    <row r="1069" spans="1:9">
      <c r="A1069" t="s">
        <v>1087</v>
      </c>
      <c r="B1069" t="s">
        <v>8</v>
      </c>
      <c r="C1069" t="str">
        <f t="shared" si="32"/>
        <v>A</v>
      </c>
      <c r="D1069" t="s">
        <v>13</v>
      </c>
      <c r="E1069" t="s">
        <v>23</v>
      </c>
      <c r="F1069" t="str">
        <f t="shared" si="33"/>
        <v>Desktop</v>
      </c>
      <c r="G1069">
        <v>4</v>
      </c>
      <c r="H1069">
        <v>0</v>
      </c>
      <c r="I1069">
        <v>0</v>
      </c>
    </row>
    <row r="1070" spans="1:9">
      <c r="A1070" t="s">
        <v>1088</v>
      </c>
      <c r="B1070" t="s">
        <v>12</v>
      </c>
      <c r="C1070" t="str">
        <f t="shared" si="32"/>
        <v>A</v>
      </c>
      <c r="D1070" t="s">
        <v>13</v>
      </c>
      <c r="E1070" t="s">
        <v>10</v>
      </c>
      <c r="F1070" t="str">
        <f t="shared" si="33"/>
        <v>Mobile</v>
      </c>
      <c r="G1070">
        <v>8</v>
      </c>
      <c r="H1070">
        <v>0</v>
      </c>
      <c r="I1070">
        <v>0</v>
      </c>
    </row>
    <row r="1071" spans="1:9">
      <c r="A1071" t="s">
        <v>1089</v>
      </c>
      <c r="B1071" t="s">
        <v>15</v>
      </c>
      <c r="C1071" t="str">
        <f t="shared" si="32"/>
        <v>B</v>
      </c>
      <c r="D1071" t="s">
        <v>13</v>
      </c>
      <c r="E1071" t="s">
        <v>10</v>
      </c>
      <c r="F1071" t="str">
        <f t="shared" si="33"/>
        <v>Mobile</v>
      </c>
      <c r="G1071">
        <v>5</v>
      </c>
      <c r="H1071">
        <v>0</v>
      </c>
      <c r="I1071">
        <v>0</v>
      </c>
    </row>
    <row r="1072" spans="1:9">
      <c r="A1072" t="s">
        <v>1090</v>
      </c>
      <c r="B1072" t="s">
        <v>8</v>
      </c>
      <c r="C1072" t="str">
        <f t="shared" si="32"/>
        <v>A</v>
      </c>
      <c r="D1072" t="s">
        <v>9</v>
      </c>
      <c r="E1072" t="s">
        <v>33</v>
      </c>
      <c r="F1072" t="str">
        <f t="shared" si="33"/>
        <v>Desktop</v>
      </c>
      <c r="G1072">
        <v>2</v>
      </c>
      <c r="H1072">
        <v>0</v>
      </c>
      <c r="I1072">
        <v>0</v>
      </c>
    </row>
    <row r="1073" spans="1:9">
      <c r="A1073" t="s">
        <v>1091</v>
      </c>
      <c r="B1073" t="s">
        <v>8</v>
      </c>
      <c r="C1073" t="str">
        <f t="shared" si="32"/>
        <v>A</v>
      </c>
      <c r="D1073" t="s">
        <v>20</v>
      </c>
      <c r="E1073" t="s">
        <v>10</v>
      </c>
      <c r="F1073" t="str">
        <f t="shared" si="33"/>
        <v>Mobile</v>
      </c>
      <c r="G1073">
        <v>3</v>
      </c>
      <c r="H1073">
        <v>1</v>
      </c>
      <c r="I1073">
        <v>1244.92</v>
      </c>
    </row>
    <row r="1074" spans="1:9">
      <c r="A1074" t="s">
        <v>1092</v>
      </c>
      <c r="B1074" t="s">
        <v>15</v>
      </c>
      <c r="C1074" t="str">
        <f t="shared" si="32"/>
        <v>B</v>
      </c>
      <c r="D1074" t="s">
        <v>9</v>
      </c>
      <c r="E1074" t="s">
        <v>10</v>
      </c>
      <c r="F1074" t="str">
        <f t="shared" si="33"/>
        <v>Mobile</v>
      </c>
      <c r="G1074">
        <v>3</v>
      </c>
      <c r="H1074">
        <v>0</v>
      </c>
      <c r="I1074">
        <v>0</v>
      </c>
    </row>
    <row r="1075" spans="1:9">
      <c r="A1075" t="s">
        <v>1093</v>
      </c>
      <c r="B1075" t="s">
        <v>12</v>
      </c>
      <c r="C1075" t="str">
        <f t="shared" si="32"/>
        <v>A</v>
      </c>
      <c r="D1075" t="s">
        <v>20</v>
      </c>
      <c r="E1075" t="s">
        <v>10</v>
      </c>
      <c r="F1075" t="str">
        <f t="shared" si="33"/>
        <v>Mobile</v>
      </c>
      <c r="G1075">
        <v>6</v>
      </c>
      <c r="H1075">
        <v>0</v>
      </c>
      <c r="I1075">
        <v>0</v>
      </c>
    </row>
    <row r="1076" spans="1:9">
      <c r="A1076" t="s">
        <v>1094</v>
      </c>
      <c r="B1076" t="s">
        <v>15</v>
      </c>
      <c r="C1076" t="str">
        <f t="shared" si="32"/>
        <v>B</v>
      </c>
      <c r="D1076" t="s">
        <v>20</v>
      </c>
      <c r="E1076" t="s">
        <v>10</v>
      </c>
      <c r="F1076" t="str">
        <f t="shared" si="33"/>
        <v>Mobile</v>
      </c>
      <c r="G1076">
        <v>2</v>
      </c>
      <c r="H1076">
        <v>0</v>
      </c>
      <c r="I1076">
        <v>0</v>
      </c>
    </row>
    <row r="1077" spans="1:9">
      <c r="A1077" t="s">
        <v>1095</v>
      </c>
      <c r="B1077" t="s">
        <v>15</v>
      </c>
      <c r="C1077" t="str">
        <f t="shared" si="32"/>
        <v>B</v>
      </c>
      <c r="D1077" t="s">
        <v>13</v>
      </c>
      <c r="E1077" t="s">
        <v>23</v>
      </c>
      <c r="F1077" t="str">
        <f t="shared" si="33"/>
        <v>Desktop</v>
      </c>
      <c r="G1077">
        <v>5</v>
      </c>
      <c r="H1077">
        <v>0</v>
      </c>
      <c r="I1077">
        <v>0</v>
      </c>
    </row>
    <row r="1078" spans="1:9">
      <c r="A1078" t="s">
        <v>1096</v>
      </c>
      <c r="B1078" t="s">
        <v>8</v>
      </c>
      <c r="C1078" t="str">
        <f t="shared" si="32"/>
        <v>A</v>
      </c>
      <c r="D1078" t="s">
        <v>13</v>
      </c>
      <c r="E1078" t="s">
        <v>10</v>
      </c>
      <c r="F1078" t="str">
        <f t="shared" si="33"/>
        <v>Mobile</v>
      </c>
      <c r="G1078">
        <v>4</v>
      </c>
      <c r="H1078">
        <v>1</v>
      </c>
      <c r="I1078">
        <v>2063.8000000000002</v>
      </c>
    </row>
    <row r="1079" spans="1:9">
      <c r="A1079" t="s">
        <v>1097</v>
      </c>
      <c r="B1079" t="s">
        <v>29</v>
      </c>
      <c r="C1079" t="str">
        <f t="shared" si="32"/>
        <v>B</v>
      </c>
      <c r="D1079" t="s">
        <v>20</v>
      </c>
      <c r="E1079" t="s">
        <v>23</v>
      </c>
      <c r="F1079" t="str">
        <f t="shared" si="33"/>
        <v>Desktop</v>
      </c>
      <c r="G1079">
        <v>6</v>
      </c>
      <c r="H1079">
        <v>1</v>
      </c>
      <c r="I1079">
        <v>913.97</v>
      </c>
    </row>
    <row r="1080" spans="1:9">
      <c r="A1080" t="s">
        <v>1098</v>
      </c>
      <c r="B1080" t="s">
        <v>8</v>
      </c>
      <c r="C1080" t="str">
        <f t="shared" si="32"/>
        <v>A</v>
      </c>
      <c r="D1080" t="s">
        <v>20</v>
      </c>
      <c r="E1080" t="s">
        <v>10</v>
      </c>
      <c r="F1080" t="str">
        <f t="shared" si="33"/>
        <v>Mobile</v>
      </c>
      <c r="G1080">
        <v>4</v>
      </c>
      <c r="H1080">
        <v>0</v>
      </c>
      <c r="I1080">
        <v>0</v>
      </c>
    </row>
    <row r="1081" spans="1:9">
      <c r="A1081" t="s">
        <v>1099</v>
      </c>
      <c r="B1081" t="s">
        <v>12</v>
      </c>
      <c r="C1081" t="str">
        <f t="shared" si="32"/>
        <v>A</v>
      </c>
      <c r="D1081" t="s">
        <v>18</v>
      </c>
      <c r="E1081" t="s">
        <v>10</v>
      </c>
      <c r="F1081" t="str">
        <f t="shared" si="33"/>
        <v>Mobile</v>
      </c>
      <c r="G1081">
        <v>5</v>
      </c>
      <c r="H1081">
        <v>0</v>
      </c>
      <c r="I1081">
        <v>0</v>
      </c>
    </row>
    <row r="1082" spans="1:9">
      <c r="A1082" t="s">
        <v>1100</v>
      </c>
      <c r="B1082" t="s">
        <v>15</v>
      </c>
      <c r="C1082" t="str">
        <f t="shared" si="32"/>
        <v>B</v>
      </c>
      <c r="D1082" t="s">
        <v>20</v>
      </c>
      <c r="E1082" t="s">
        <v>23</v>
      </c>
      <c r="F1082" t="str">
        <f t="shared" si="33"/>
        <v>Desktop</v>
      </c>
      <c r="G1082">
        <v>5</v>
      </c>
      <c r="H1082">
        <v>1</v>
      </c>
      <c r="I1082">
        <v>1156.7</v>
      </c>
    </row>
    <row r="1083" spans="1:9">
      <c r="A1083" t="s">
        <v>1101</v>
      </c>
      <c r="B1083" t="s">
        <v>15</v>
      </c>
      <c r="C1083" t="str">
        <f t="shared" si="32"/>
        <v>B</v>
      </c>
      <c r="D1083" t="s">
        <v>13</v>
      </c>
      <c r="E1083" t="s">
        <v>10</v>
      </c>
      <c r="F1083" t="str">
        <f t="shared" si="33"/>
        <v>Mobile</v>
      </c>
      <c r="G1083">
        <v>6</v>
      </c>
      <c r="H1083">
        <v>0</v>
      </c>
      <c r="I1083">
        <v>0</v>
      </c>
    </row>
    <row r="1084" spans="1:9">
      <c r="A1084" t="s">
        <v>1102</v>
      </c>
      <c r="B1084" t="s">
        <v>15</v>
      </c>
      <c r="C1084" t="str">
        <f t="shared" si="32"/>
        <v>B</v>
      </c>
      <c r="D1084" t="s">
        <v>13</v>
      </c>
      <c r="E1084" t="s">
        <v>23</v>
      </c>
      <c r="F1084" t="str">
        <f t="shared" si="33"/>
        <v>Desktop</v>
      </c>
      <c r="G1084">
        <v>3</v>
      </c>
      <c r="H1084">
        <v>1</v>
      </c>
      <c r="I1084">
        <v>2734.94</v>
      </c>
    </row>
    <row r="1085" spans="1:9">
      <c r="A1085" t="s">
        <v>1103</v>
      </c>
      <c r="B1085" t="s">
        <v>8</v>
      </c>
      <c r="C1085" t="str">
        <f t="shared" si="32"/>
        <v>A</v>
      </c>
      <c r="D1085" t="s">
        <v>13</v>
      </c>
      <c r="E1085" t="s">
        <v>10</v>
      </c>
      <c r="F1085" t="str">
        <f t="shared" si="33"/>
        <v>Mobile</v>
      </c>
      <c r="G1085">
        <v>8</v>
      </c>
      <c r="H1085">
        <v>0</v>
      </c>
      <c r="I1085">
        <v>0</v>
      </c>
    </row>
    <row r="1086" spans="1:9">
      <c r="A1086" t="s">
        <v>1104</v>
      </c>
      <c r="B1086" t="s">
        <v>8</v>
      </c>
      <c r="C1086" t="str">
        <f t="shared" si="32"/>
        <v>A</v>
      </c>
      <c r="D1086" t="s">
        <v>13</v>
      </c>
      <c r="E1086" t="s">
        <v>23</v>
      </c>
      <c r="F1086" t="str">
        <f t="shared" si="33"/>
        <v>Desktop</v>
      </c>
      <c r="G1086">
        <v>2</v>
      </c>
      <c r="H1086">
        <v>0</v>
      </c>
      <c r="I1086">
        <v>0</v>
      </c>
    </row>
    <row r="1087" spans="1:9">
      <c r="A1087" t="s">
        <v>1105</v>
      </c>
      <c r="B1087" t="s">
        <v>8</v>
      </c>
      <c r="C1087" t="str">
        <f t="shared" si="32"/>
        <v>A</v>
      </c>
      <c r="D1087" t="s">
        <v>20</v>
      </c>
      <c r="E1087" t="s">
        <v>10</v>
      </c>
      <c r="F1087" t="str">
        <f t="shared" si="33"/>
        <v>Mobile</v>
      </c>
      <c r="G1087">
        <v>12</v>
      </c>
      <c r="H1087">
        <v>1</v>
      </c>
      <c r="I1087">
        <v>1207.92</v>
      </c>
    </row>
    <row r="1088" spans="1:9">
      <c r="A1088" t="s">
        <v>1106</v>
      </c>
      <c r="B1088" t="s">
        <v>8</v>
      </c>
      <c r="C1088" t="str">
        <f t="shared" si="32"/>
        <v>A</v>
      </c>
      <c r="D1088" t="s">
        <v>13</v>
      </c>
      <c r="E1088" t="s">
        <v>16</v>
      </c>
      <c r="F1088" t="str">
        <f t="shared" si="33"/>
        <v>Mobile</v>
      </c>
      <c r="G1088">
        <v>8</v>
      </c>
      <c r="H1088">
        <v>0</v>
      </c>
      <c r="I1088">
        <v>0</v>
      </c>
    </row>
    <row r="1089" spans="1:9">
      <c r="A1089" t="s">
        <v>1107</v>
      </c>
      <c r="B1089" t="s">
        <v>15</v>
      </c>
      <c r="C1089" t="str">
        <f t="shared" si="32"/>
        <v>B</v>
      </c>
      <c r="D1089" t="s">
        <v>20</v>
      </c>
      <c r="E1089" t="s">
        <v>10</v>
      </c>
      <c r="F1089" t="str">
        <f t="shared" si="33"/>
        <v>Mobile</v>
      </c>
      <c r="G1089">
        <v>6</v>
      </c>
      <c r="H1089">
        <v>0</v>
      </c>
      <c r="I1089">
        <v>0</v>
      </c>
    </row>
    <row r="1090" spans="1:9">
      <c r="A1090" t="s">
        <v>1108</v>
      </c>
      <c r="B1090" t="s">
        <v>8</v>
      </c>
      <c r="C1090" t="str">
        <f t="shared" ref="C1090:C1153" si="34">IF(OR(B1090="control", B1090="A"), "A", "B")</f>
        <v>A</v>
      </c>
      <c r="D1090" t="s">
        <v>13</v>
      </c>
      <c r="E1090" t="s">
        <v>16</v>
      </c>
      <c r="F1090" t="str">
        <f t="shared" ref="F1090:F1153" si="35">PROPER(E1090)</f>
        <v>Mobile</v>
      </c>
      <c r="G1090">
        <v>4</v>
      </c>
      <c r="H1090">
        <v>0</v>
      </c>
      <c r="I1090">
        <v>0</v>
      </c>
    </row>
    <row r="1091" spans="1:9">
      <c r="A1091" t="s">
        <v>1109</v>
      </c>
      <c r="B1091" t="s">
        <v>8</v>
      </c>
      <c r="C1091" t="str">
        <f t="shared" si="34"/>
        <v>A</v>
      </c>
      <c r="D1091" t="s">
        <v>20</v>
      </c>
      <c r="E1091" t="s">
        <v>10</v>
      </c>
      <c r="F1091" t="str">
        <f t="shared" si="35"/>
        <v>Mobile</v>
      </c>
      <c r="G1091">
        <v>6</v>
      </c>
      <c r="H1091">
        <v>1</v>
      </c>
      <c r="I1091">
        <v>1492</v>
      </c>
    </row>
    <row r="1092" spans="1:9">
      <c r="A1092" t="s">
        <v>1110</v>
      </c>
      <c r="B1092" t="s">
        <v>29</v>
      </c>
      <c r="C1092" t="str">
        <f t="shared" si="34"/>
        <v>B</v>
      </c>
      <c r="D1092" t="s">
        <v>13</v>
      </c>
      <c r="E1092" t="s">
        <v>23</v>
      </c>
      <c r="F1092" t="str">
        <f t="shared" si="35"/>
        <v>Desktop</v>
      </c>
      <c r="G1092">
        <v>3</v>
      </c>
      <c r="H1092">
        <v>0</v>
      </c>
      <c r="I1092">
        <v>0</v>
      </c>
    </row>
    <row r="1093" spans="1:9">
      <c r="A1093" t="s">
        <v>1111</v>
      </c>
      <c r="B1093" t="s">
        <v>15</v>
      </c>
      <c r="C1093" t="str">
        <f t="shared" si="34"/>
        <v>B</v>
      </c>
      <c r="D1093" t="s">
        <v>20</v>
      </c>
      <c r="E1093" t="s">
        <v>10</v>
      </c>
      <c r="F1093" t="str">
        <f t="shared" si="35"/>
        <v>Mobile</v>
      </c>
      <c r="G1093">
        <v>4</v>
      </c>
      <c r="H1093">
        <v>0</v>
      </c>
      <c r="I1093">
        <v>0</v>
      </c>
    </row>
    <row r="1094" spans="1:9">
      <c r="A1094" t="s">
        <v>1112</v>
      </c>
      <c r="B1094" t="s">
        <v>12</v>
      </c>
      <c r="C1094" t="str">
        <f t="shared" si="34"/>
        <v>A</v>
      </c>
      <c r="D1094" t="s">
        <v>20</v>
      </c>
      <c r="E1094" t="s">
        <v>33</v>
      </c>
      <c r="F1094" t="str">
        <f t="shared" si="35"/>
        <v>Desktop</v>
      </c>
      <c r="G1094">
        <v>5</v>
      </c>
      <c r="H1094">
        <v>0</v>
      </c>
      <c r="I1094">
        <v>0</v>
      </c>
    </row>
    <row r="1095" spans="1:9">
      <c r="A1095" t="s">
        <v>1113</v>
      </c>
      <c r="B1095" t="s">
        <v>29</v>
      </c>
      <c r="C1095" t="str">
        <f t="shared" si="34"/>
        <v>B</v>
      </c>
      <c r="D1095" t="s">
        <v>20</v>
      </c>
      <c r="E1095" t="s">
        <v>10</v>
      </c>
      <c r="F1095" t="str">
        <f t="shared" si="35"/>
        <v>Mobile</v>
      </c>
      <c r="G1095">
        <v>6</v>
      </c>
      <c r="H1095">
        <v>0</v>
      </c>
      <c r="I1095">
        <v>0</v>
      </c>
    </row>
    <row r="1096" spans="1:9">
      <c r="A1096" t="s">
        <v>1114</v>
      </c>
      <c r="B1096" t="s">
        <v>8</v>
      </c>
      <c r="C1096" t="str">
        <f t="shared" si="34"/>
        <v>A</v>
      </c>
      <c r="D1096" t="s">
        <v>20</v>
      </c>
      <c r="E1096" t="s">
        <v>10</v>
      </c>
      <c r="F1096" t="str">
        <f t="shared" si="35"/>
        <v>Mobile</v>
      </c>
      <c r="G1096">
        <v>8</v>
      </c>
      <c r="H1096">
        <v>0</v>
      </c>
      <c r="I1096">
        <v>0</v>
      </c>
    </row>
    <row r="1097" spans="1:9">
      <c r="A1097" t="s">
        <v>1115</v>
      </c>
      <c r="B1097" t="s">
        <v>8</v>
      </c>
      <c r="C1097" t="str">
        <f t="shared" si="34"/>
        <v>A</v>
      </c>
      <c r="D1097" t="s">
        <v>9</v>
      </c>
      <c r="E1097" t="s">
        <v>10</v>
      </c>
      <c r="F1097" t="str">
        <f t="shared" si="35"/>
        <v>Mobile</v>
      </c>
      <c r="G1097">
        <v>4</v>
      </c>
      <c r="H1097">
        <v>0</v>
      </c>
      <c r="I1097">
        <v>0</v>
      </c>
    </row>
    <row r="1098" spans="1:9">
      <c r="A1098" t="s">
        <v>1116</v>
      </c>
      <c r="B1098" t="s">
        <v>15</v>
      </c>
      <c r="C1098" t="str">
        <f t="shared" si="34"/>
        <v>B</v>
      </c>
      <c r="D1098" t="s">
        <v>20</v>
      </c>
      <c r="E1098" t="s">
        <v>10</v>
      </c>
      <c r="F1098" t="str">
        <f t="shared" si="35"/>
        <v>Mobile</v>
      </c>
      <c r="G1098">
        <v>5</v>
      </c>
      <c r="H1098">
        <v>0</v>
      </c>
      <c r="I1098">
        <v>0</v>
      </c>
    </row>
    <row r="1099" spans="1:9">
      <c r="A1099" t="s">
        <v>1117</v>
      </c>
      <c r="B1099" t="s">
        <v>15</v>
      </c>
      <c r="C1099" t="str">
        <f t="shared" si="34"/>
        <v>B</v>
      </c>
      <c r="D1099" t="s">
        <v>18</v>
      </c>
      <c r="E1099" t="s">
        <v>10</v>
      </c>
      <c r="F1099" t="str">
        <f t="shared" si="35"/>
        <v>Mobile</v>
      </c>
      <c r="G1099">
        <v>5</v>
      </c>
      <c r="H1099">
        <v>1</v>
      </c>
      <c r="I1099">
        <v>1107.8900000000001</v>
      </c>
    </row>
    <row r="1100" spans="1:9">
      <c r="A1100" t="s">
        <v>1118</v>
      </c>
      <c r="B1100" t="s">
        <v>8</v>
      </c>
      <c r="C1100" t="str">
        <f t="shared" si="34"/>
        <v>A</v>
      </c>
      <c r="D1100" t="s">
        <v>18</v>
      </c>
      <c r="E1100" t="s">
        <v>33</v>
      </c>
      <c r="F1100" t="str">
        <f t="shared" si="35"/>
        <v>Desktop</v>
      </c>
      <c r="G1100">
        <v>7</v>
      </c>
      <c r="H1100">
        <v>0</v>
      </c>
      <c r="I1100">
        <v>0</v>
      </c>
    </row>
    <row r="1101" spans="1:9">
      <c r="A1101" t="s">
        <v>1119</v>
      </c>
      <c r="B1101" t="s">
        <v>15</v>
      </c>
      <c r="C1101" t="str">
        <f t="shared" si="34"/>
        <v>B</v>
      </c>
      <c r="D1101" t="s">
        <v>13</v>
      </c>
      <c r="E1101" t="s">
        <v>83</v>
      </c>
      <c r="F1101" t="str">
        <f t="shared" si="35"/>
        <v>Tablet</v>
      </c>
      <c r="G1101">
        <v>5</v>
      </c>
      <c r="H1101">
        <v>1</v>
      </c>
      <c r="I1101">
        <v>3086.84</v>
      </c>
    </row>
    <row r="1102" spans="1:9">
      <c r="A1102" t="s">
        <v>1120</v>
      </c>
      <c r="B1102" t="s">
        <v>8</v>
      </c>
      <c r="C1102" t="str">
        <f t="shared" si="34"/>
        <v>A</v>
      </c>
      <c r="D1102" t="s">
        <v>20</v>
      </c>
      <c r="E1102" t="s">
        <v>10</v>
      </c>
      <c r="F1102" t="str">
        <f t="shared" si="35"/>
        <v>Mobile</v>
      </c>
      <c r="G1102">
        <v>7</v>
      </c>
      <c r="H1102">
        <v>1</v>
      </c>
      <c r="I1102">
        <v>1843.03</v>
      </c>
    </row>
    <row r="1103" spans="1:9">
      <c r="A1103" t="s">
        <v>1121</v>
      </c>
      <c r="B1103" t="s">
        <v>8</v>
      </c>
      <c r="C1103" t="str">
        <f t="shared" si="34"/>
        <v>A</v>
      </c>
      <c r="D1103" t="s">
        <v>20</v>
      </c>
      <c r="E1103" t="s">
        <v>33</v>
      </c>
      <c r="F1103" t="str">
        <f t="shared" si="35"/>
        <v>Desktop</v>
      </c>
      <c r="G1103">
        <v>4</v>
      </c>
      <c r="H1103">
        <v>0</v>
      </c>
      <c r="I1103">
        <v>0</v>
      </c>
    </row>
    <row r="1104" spans="1:9">
      <c r="A1104" t="s">
        <v>1122</v>
      </c>
      <c r="B1104" t="s">
        <v>15</v>
      </c>
      <c r="C1104" t="str">
        <f t="shared" si="34"/>
        <v>B</v>
      </c>
      <c r="D1104" t="s">
        <v>9</v>
      </c>
      <c r="E1104" t="s">
        <v>23</v>
      </c>
      <c r="F1104" t="str">
        <f t="shared" si="35"/>
        <v>Desktop</v>
      </c>
      <c r="G1104">
        <v>12</v>
      </c>
      <c r="H1104">
        <v>0</v>
      </c>
      <c r="I1104">
        <v>0</v>
      </c>
    </row>
    <row r="1105" spans="1:9">
      <c r="A1105" t="s">
        <v>1123</v>
      </c>
      <c r="B1105" t="s">
        <v>15</v>
      </c>
      <c r="C1105" t="str">
        <f t="shared" si="34"/>
        <v>B</v>
      </c>
      <c r="D1105" t="s">
        <v>20</v>
      </c>
      <c r="E1105" t="s">
        <v>10</v>
      </c>
      <c r="F1105" t="str">
        <f t="shared" si="35"/>
        <v>Mobile</v>
      </c>
      <c r="G1105">
        <v>3</v>
      </c>
      <c r="H1105">
        <v>0</v>
      </c>
      <c r="I1105">
        <v>0</v>
      </c>
    </row>
    <row r="1106" spans="1:9">
      <c r="A1106" t="s">
        <v>1124</v>
      </c>
      <c r="B1106" t="s">
        <v>15</v>
      </c>
      <c r="C1106" t="str">
        <f t="shared" si="34"/>
        <v>B</v>
      </c>
      <c r="D1106" t="s">
        <v>20</v>
      </c>
      <c r="E1106" t="s">
        <v>23</v>
      </c>
      <c r="F1106" t="str">
        <f t="shared" si="35"/>
        <v>Desktop</v>
      </c>
      <c r="G1106">
        <v>1</v>
      </c>
      <c r="H1106">
        <v>0</v>
      </c>
      <c r="I1106">
        <v>0</v>
      </c>
    </row>
    <row r="1107" spans="1:9">
      <c r="A1107" t="s">
        <v>1125</v>
      </c>
      <c r="B1107" t="s">
        <v>8</v>
      </c>
      <c r="C1107" t="str">
        <f t="shared" si="34"/>
        <v>A</v>
      </c>
      <c r="D1107" t="s">
        <v>13</v>
      </c>
      <c r="E1107" t="s">
        <v>23</v>
      </c>
      <c r="F1107" t="str">
        <f t="shared" si="35"/>
        <v>Desktop</v>
      </c>
      <c r="G1107">
        <v>10</v>
      </c>
      <c r="H1107">
        <v>0</v>
      </c>
      <c r="I1107">
        <v>0</v>
      </c>
    </row>
    <row r="1108" spans="1:9">
      <c r="A1108" t="s">
        <v>1126</v>
      </c>
      <c r="B1108" t="s">
        <v>15</v>
      </c>
      <c r="C1108" t="str">
        <f t="shared" si="34"/>
        <v>B</v>
      </c>
      <c r="D1108" t="s">
        <v>9</v>
      </c>
      <c r="E1108" t="s">
        <v>83</v>
      </c>
      <c r="F1108" t="str">
        <f t="shared" si="35"/>
        <v>Tablet</v>
      </c>
      <c r="G1108">
        <v>14</v>
      </c>
      <c r="H1108">
        <v>0</v>
      </c>
      <c r="I1108">
        <v>0</v>
      </c>
    </row>
    <row r="1109" spans="1:9">
      <c r="A1109" t="s">
        <v>1127</v>
      </c>
      <c r="B1109" t="s">
        <v>8</v>
      </c>
      <c r="C1109" t="str">
        <f t="shared" si="34"/>
        <v>A</v>
      </c>
      <c r="D1109" t="s">
        <v>9</v>
      </c>
      <c r="E1109" t="s">
        <v>10</v>
      </c>
      <c r="F1109" t="str">
        <f t="shared" si="35"/>
        <v>Mobile</v>
      </c>
      <c r="G1109">
        <v>6</v>
      </c>
      <c r="H1109">
        <v>0</v>
      </c>
      <c r="I1109">
        <v>0</v>
      </c>
    </row>
    <row r="1110" spans="1:9">
      <c r="A1110" t="s">
        <v>1128</v>
      </c>
      <c r="B1110" t="s">
        <v>8</v>
      </c>
      <c r="C1110" t="str">
        <f t="shared" si="34"/>
        <v>A</v>
      </c>
      <c r="D1110" t="s">
        <v>20</v>
      </c>
      <c r="E1110" t="s">
        <v>23</v>
      </c>
      <c r="F1110" t="str">
        <f t="shared" si="35"/>
        <v>Desktop</v>
      </c>
      <c r="G1110">
        <v>5</v>
      </c>
      <c r="H1110">
        <v>0</v>
      </c>
      <c r="I1110">
        <v>0</v>
      </c>
    </row>
    <row r="1111" spans="1:9">
      <c r="A1111" t="s">
        <v>1129</v>
      </c>
      <c r="B1111" t="s">
        <v>15</v>
      </c>
      <c r="C1111" t="str">
        <f t="shared" si="34"/>
        <v>B</v>
      </c>
      <c r="D1111" t="s">
        <v>13</v>
      </c>
      <c r="E1111" t="s">
        <v>10</v>
      </c>
      <c r="F1111" t="str">
        <f t="shared" si="35"/>
        <v>Mobile</v>
      </c>
      <c r="G1111">
        <v>3</v>
      </c>
      <c r="H1111">
        <v>0</v>
      </c>
      <c r="I1111">
        <v>0</v>
      </c>
    </row>
    <row r="1112" spans="1:9">
      <c r="A1112" t="s">
        <v>1130</v>
      </c>
      <c r="B1112" t="s">
        <v>12</v>
      </c>
      <c r="C1112" t="str">
        <f t="shared" si="34"/>
        <v>A</v>
      </c>
      <c r="D1112" t="s">
        <v>20</v>
      </c>
      <c r="E1112" t="s">
        <v>10</v>
      </c>
      <c r="F1112" t="str">
        <f t="shared" si="35"/>
        <v>Mobile</v>
      </c>
      <c r="G1112">
        <v>3</v>
      </c>
      <c r="H1112">
        <v>0</v>
      </c>
      <c r="I1112">
        <v>0</v>
      </c>
    </row>
    <row r="1113" spans="1:9">
      <c r="A1113" t="s">
        <v>1131</v>
      </c>
      <c r="B1113" t="s">
        <v>15</v>
      </c>
      <c r="C1113" t="str">
        <f t="shared" si="34"/>
        <v>B</v>
      </c>
      <c r="D1113" t="s">
        <v>20</v>
      </c>
      <c r="E1113" t="s">
        <v>10</v>
      </c>
      <c r="F1113" t="str">
        <f t="shared" si="35"/>
        <v>Mobile</v>
      </c>
      <c r="G1113">
        <v>7</v>
      </c>
      <c r="H1113">
        <v>0</v>
      </c>
      <c r="I1113">
        <v>0</v>
      </c>
    </row>
    <row r="1114" spans="1:9">
      <c r="A1114" t="s">
        <v>1132</v>
      </c>
      <c r="B1114" t="s">
        <v>15</v>
      </c>
      <c r="C1114" t="str">
        <f t="shared" si="34"/>
        <v>B</v>
      </c>
      <c r="D1114" t="s">
        <v>9</v>
      </c>
      <c r="E1114" t="s">
        <v>83</v>
      </c>
      <c r="F1114" t="str">
        <f t="shared" si="35"/>
        <v>Tablet</v>
      </c>
      <c r="G1114">
        <v>6</v>
      </c>
      <c r="H1114">
        <v>0</v>
      </c>
      <c r="I1114">
        <v>0</v>
      </c>
    </row>
    <row r="1115" spans="1:9">
      <c r="A1115" t="s">
        <v>1133</v>
      </c>
      <c r="B1115" t="s">
        <v>15</v>
      </c>
      <c r="C1115" t="str">
        <f t="shared" si="34"/>
        <v>B</v>
      </c>
      <c r="D1115" t="s">
        <v>20</v>
      </c>
      <c r="E1115" t="s">
        <v>23</v>
      </c>
      <c r="F1115" t="str">
        <f t="shared" si="35"/>
        <v>Desktop</v>
      </c>
      <c r="G1115">
        <v>5</v>
      </c>
      <c r="H1115">
        <v>0</v>
      </c>
      <c r="I1115">
        <v>0</v>
      </c>
    </row>
    <row r="1116" spans="1:9">
      <c r="A1116" t="s">
        <v>1134</v>
      </c>
      <c r="B1116" t="s">
        <v>15</v>
      </c>
      <c r="C1116" t="str">
        <f t="shared" si="34"/>
        <v>B</v>
      </c>
      <c r="D1116" t="s">
        <v>20</v>
      </c>
      <c r="E1116" t="s">
        <v>23</v>
      </c>
      <c r="F1116" t="str">
        <f t="shared" si="35"/>
        <v>Desktop</v>
      </c>
      <c r="G1116">
        <v>4</v>
      </c>
      <c r="H1116">
        <v>0</v>
      </c>
      <c r="I1116">
        <v>0</v>
      </c>
    </row>
    <row r="1117" spans="1:9">
      <c r="A1117" t="s">
        <v>1135</v>
      </c>
      <c r="B1117" t="s">
        <v>8</v>
      </c>
      <c r="C1117" t="str">
        <f t="shared" si="34"/>
        <v>A</v>
      </c>
      <c r="D1117" t="s">
        <v>20</v>
      </c>
      <c r="E1117" t="s">
        <v>10</v>
      </c>
      <c r="F1117" t="str">
        <f t="shared" si="35"/>
        <v>Mobile</v>
      </c>
      <c r="G1117">
        <v>6</v>
      </c>
      <c r="H1117">
        <v>0</v>
      </c>
      <c r="I1117">
        <v>0</v>
      </c>
    </row>
    <row r="1118" spans="1:9">
      <c r="A1118" t="s">
        <v>1136</v>
      </c>
      <c r="B1118" t="s">
        <v>8</v>
      </c>
      <c r="C1118" t="str">
        <f t="shared" si="34"/>
        <v>A</v>
      </c>
      <c r="D1118" t="s">
        <v>9</v>
      </c>
      <c r="E1118" t="s">
        <v>10</v>
      </c>
      <c r="F1118" t="str">
        <f t="shared" si="35"/>
        <v>Mobile</v>
      </c>
      <c r="G1118">
        <v>10</v>
      </c>
      <c r="H1118">
        <v>1</v>
      </c>
      <c r="I1118">
        <v>4550.54</v>
      </c>
    </row>
    <row r="1119" spans="1:9">
      <c r="A1119" t="s">
        <v>1137</v>
      </c>
      <c r="B1119" t="s">
        <v>8</v>
      </c>
      <c r="C1119" t="str">
        <f t="shared" si="34"/>
        <v>A</v>
      </c>
      <c r="D1119" t="s">
        <v>9</v>
      </c>
      <c r="E1119" t="s">
        <v>10</v>
      </c>
      <c r="F1119" t="str">
        <f t="shared" si="35"/>
        <v>Mobile</v>
      </c>
      <c r="G1119">
        <v>3</v>
      </c>
      <c r="H1119">
        <v>1</v>
      </c>
      <c r="I1119">
        <v>6187.35</v>
      </c>
    </row>
    <row r="1120" spans="1:9">
      <c r="A1120" t="s">
        <v>1138</v>
      </c>
      <c r="B1120" t="s">
        <v>8</v>
      </c>
      <c r="C1120" t="str">
        <f t="shared" si="34"/>
        <v>A</v>
      </c>
      <c r="D1120" t="s">
        <v>13</v>
      </c>
      <c r="E1120" t="s">
        <v>10</v>
      </c>
      <c r="F1120" t="str">
        <f t="shared" si="35"/>
        <v>Mobile</v>
      </c>
      <c r="G1120">
        <v>2</v>
      </c>
      <c r="H1120">
        <v>0</v>
      </c>
      <c r="I1120">
        <v>0</v>
      </c>
    </row>
    <row r="1121" spans="1:9">
      <c r="A1121" t="s">
        <v>1139</v>
      </c>
      <c r="B1121" t="s">
        <v>15</v>
      </c>
      <c r="C1121" t="str">
        <f t="shared" si="34"/>
        <v>B</v>
      </c>
      <c r="D1121" t="s">
        <v>13</v>
      </c>
      <c r="E1121" t="s">
        <v>10</v>
      </c>
      <c r="F1121" t="str">
        <f t="shared" si="35"/>
        <v>Mobile</v>
      </c>
      <c r="G1121">
        <v>5</v>
      </c>
      <c r="H1121">
        <v>0</v>
      </c>
      <c r="I1121">
        <v>0</v>
      </c>
    </row>
    <row r="1122" spans="1:9">
      <c r="A1122" t="s">
        <v>1140</v>
      </c>
      <c r="B1122" t="s">
        <v>15</v>
      </c>
      <c r="C1122" t="str">
        <f t="shared" si="34"/>
        <v>B</v>
      </c>
      <c r="D1122" t="s">
        <v>20</v>
      </c>
      <c r="E1122" t="s">
        <v>23</v>
      </c>
      <c r="F1122" t="str">
        <f t="shared" si="35"/>
        <v>Desktop</v>
      </c>
      <c r="G1122">
        <v>7</v>
      </c>
      <c r="H1122">
        <v>0</v>
      </c>
      <c r="I1122">
        <v>0</v>
      </c>
    </row>
    <row r="1123" spans="1:9">
      <c r="A1123" t="s">
        <v>1141</v>
      </c>
      <c r="B1123" t="s">
        <v>8</v>
      </c>
      <c r="C1123" t="str">
        <f t="shared" si="34"/>
        <v>A</v>
      </c>
      <c r="D1123" t="s">
        <v>13</v>
      </c>
      <c r="E1123" t="s">
        <v>23</v>
      </c>
      <c r="F1123" t="str">
        <f t="shared" si="35"/>
        <v>Desktop</v>
      </c>
      <c r="G1123">
        <v>7</v>
      </c>
      <c r="H1123">
        <v>1</v>
      </c>
      <c r="I1123">
        <v>3145.49</v>
      </c>
    </row>
    <row r="1124" spans="1:9">
      <c r="A1124" t="s">
        <v>1142</v>
      </c>
      <c r="B1124" t="s">
        <v>8</v>
      </c>
      <c r="C1124" t="str">
        <f t="shared" si="34"/>
        <v>A</v>
      </c>
      <c r="D1124" t="s">
        <v>20</v>
      </c>
      <c r="E1124" t="s">
        <v>10</v>
      </c>
      <c r="F1124" t="str">
        <f t="shared" si="35"/>
        <v>Mobile</v>
      </c>
      <c r="G1124">
        <v>10</v>
      </c>
      <c r="H1124">
        <v>1</v>
      </c>
      <c r="I1124">
        <v>1295.1600000000001</v>
      </c>
    </row>
    <row r="1125" spans="1:9">
      <c r="A1125" t="s">
        <v>1143</v>
      </c>
      <c r="B1125" t="s">
        <v>15</v>
      </c>
      <c r="C1125" t="str">
        <f t="shared" si="34"/>
        <v>B</v>
      </c>
      <c r="D1125" t="s">
        <v>20</v>
      </c>
      <c r="E1125" t="s">
        <v>10</v>
      </c>
      <c r="F1125" t="str">
        <f t="shared" si="35"/>
        <v>Mobile</v>
      </c>
      <c r="G1125">
        <v>7</v>
      </c>
      <c r="H1125">
        <v>0</v>
      </c>
      <c r="I1125">
        <v>0</v>
      </c>
    </row>
    <row r="1126" spans="1:9">
      <c r="A1126" t="s">
        <v>1144</v>
      </c>
      <c r="B1126" t="s">
        <v>8</v>
      </c>
      <c r="C1126" t="str">
        <f t="shared" si="34"/>
        <v>A</v>
      </c>
      <c r="D1126" t="s">
        <v>13</v>
      </c>
      <c r="E1126" t="s">
        <v>10</v>
      </c>
      <c r="F1126" t="str">
        <f t="shared" si="35"/>
        <v>Mobile</v>
      </c>
      <c r="G1126">
        <v>8</v>
      </c>
      <c r="H1126">
        <v>0</v>
      </c>
      <c r="I1126">
        <v>0</v>
      </c>
    </row>
    <row r="1127" spans="1:9">
      <c r="A1127" t="s">
        <v>1145</v>
      </c>
      <c r="B1127" t="s">
        <v>15</v>
      </c>
      <c r="C1127" t="str">
        <f t="shared" si="34"/>
        <v>B</v>
      </c>
      <c r="D1127" t="s">
        <v>18</v>
      </c>
      <c r="E1127" t="s">
        <v>10</v>
      </c>
      <c r="F1127" t="str">
        <f t="shared" si="35"/>
        <v>Mobile</v>
      </c>
      <c r="G1127">
        <v>8</v>
      </c>
      <c r="H1127">
        <v>0</v>
      </c>
      <c r="I1127">
        <v>0</v>
      </c>
    </row>
    <row r="1128" spans="1:9">
      <c r="A1128" t="s">
        <v>1146</v>
      </c>
      <c r="B1128" t="s">
        <v>15</v>
      </c>
      <c r="C1128" t="str">
        <f t="shared" si="34"/>
        <v>B</v>
      </c>
      <c r="D1128" t="s">
        <v>20</v>
      </c>
      <c r="E1128" t="s">
        <v>33</v>
      </c>
      <c r="F1128" t="str">
        <f t="shared" si="35"/>
        <v>Desktop</v>
      </c>
      <c r="G1128">
        <v>7</v>
      </c>
      <c r="H1128">
        <v>0</v>
      </c>
      <c r="I1128">
        <v>0</v>
      </c>
    </row>
    <row r="1129" spans="1:9">
      <c r="A1129" t="s">
        <v>1147</v>
      </c>
      <c r="B1129" t="s">
        <v>15</v>
      </c>
      <c r="C1129" t="str">
        <f t="shared" si="34"/>
        <v>B</v>
      </c>
      <c r="D1129" t="s">
        <v>20</v>
      </c>
      <c r="E1129" t="s">
        <v>23</v>
      </c>
      <c r="F1129" t="str">
        <f t="shared" si="35"/>
        <v>Desktop</v>
      </c>
      <c r="G1129">
        <v>3</v>
      </c>
      <c r="H1129">
        <v>0</v>
      </c>
      <c r="I1129">
        <v>0</v>
      </c>
    </row>
    <row r="1130" spans="1:9">
      <c r="A1130" t="s">
        <v>1148</v>
      </c>
      <c r="B1130" t="s">
        <v>15</v>
      </c>
      <c r="C1130" t="str">
        <f t="shared" si="34"/>
        <v>B</v>
      </c>
      <c r="D1130" t="s">
        <v>20</v>
      </c>
      <c r="E1130" t="s">
        <v>23</v>
      </c>
      <c r="F1130" t="str">
        <f t="shared" si="35"/>
        <v>Desktop</v>
      </c>
      <c r="G1130">
        <v>7</v>
      </c>
      <c r="H1130">
        <v>0</v>
      </c>
      <c r="I1130">
        <v>0</v>
      </c>
    </row>
    <row r="1131" spans="1:9">
      <c r="A1131" t="s">
        <v>1149</v>
      </c>
      <c r="B1131" t="s">
        <v>15</v>
      </c>
      <c r="C1131" t="str">
        <f t="shared" si="34"/>
        <v>B</v>
      </c>
      <c r="D1131" t="s">
        <v>20</v>
      </c>
      <c r="E1131" t="s">
        <v>10</v>
      </c>
      <c r="F1131" t="str">
        <f t="shared" si="35"/>
        <v>Mobile</v>
      </c>
      <c r="G1131">
        <v>6</v>
      </c>
      <c r="H1131">
        <v>0</v>
      </c>
      <c r="I1131">
        <v>0</v>
      </c>
    </row>
    <row r="1132" spans="1:9">
      <c r="A1132" t="s">
        <v>1150</v>
      </c>
      <c r="B1132" t="s">
        <v>8</v>
      </c>
      <c r="C1132" t="str">
        <f t="shared" si="34"/>
        <v>A</v>
      </c>
      <c r="D1132" t="s">
        <v>9</v>
      </c>
      <c r="E1132" t="s">
        <v>10</v>
      </c>
      <c r="F1132" t="str">
        <f t="shared" si="35"/>
        <v>Mobile</v>
      </c>
      <c r="G1132">
        <v>5</v>
      </c>
      <c r="H1132">
        <v>1</v>
      </c>
      <c r="I1132">
        <v>4250.33</v>
      </c>
    </row>
    <row r="1133" spans="1:9">
      <c r="A1133" t="s">
        <v>1151</v>
      </c>
      <c r="B1133" t="s">
        <v>15</v>
      </c>
      <c r="C1133" t="str">
        <f t="shared" si="34"/>
        <v>B</v>
      </c>
      <c r="D1133" t="s">
        <v>13</v>
      </c>
      <c r="E1133" t="s">
        <v>10</v>
      </c>
      <c r="F1133" t="str">
        <f t="shared" si="35"/>
        <v>Mobile</v>
      </c>
      <c r="G1133">
        <v>9</v>
      </c>
      <c r="H1133">
        <v>0</v>
      </c>
      <c r="I1133">
        <v>0</v>
      </c>
    </row>
    <row r="1134" spans="1:9">
      <c r="A1134" t="s">
        <v>1152</v>
      </c>
      <c r="B1134" t="s">
        <v>15</v>
      </c>
      <c r="C1134" t="str">
        <f t="shared" si="34"/>
        <v>B</v>
      </c>
      <c r="D1134" t="s">
        <v>13</v>
      </c>
      <c r="E1134" t="s">
        <v>16</v>
      </c>
      <c r="F1134" t="str">
        <f t="shared" si="35"/>
        <v>Mobile</v>
      </c>
      <c r="G1134">
        <v>4</v>
      </c>
      <c r="H1134">
        <v>0</v>
      </c>
      <c r="I1134">
        <v>0</v>
      </c>
    </row>
    <row r="1135" spans="1:9">
      <c r="A1135" t="s">
        <v>1153</v>
      </c>
      <c r="B1135" t="s">
        <v>8</v>
      </c>
      <c r="C1135" t="str">
        <f t="shared" si="34"/>
        <v>A</v>
      </c>
      <c r="D1135" t="s">
        <v>13</v>
      </c>
      <c r="E1135" t="s">
        <v>23</v>
      </c>
      <c r="F1135" t="str">
        <f t="shared" si="35"/>
        <v>Desktop</v>
      </c>
      <c r="G1135">
        <v>9</v>
      </c>
      <c r="H1135">
        <v>0</v>
      </c>
      <c r="I1135">
        <v>0</v>
      </c>
    </row>
    <row r="1136" spans="1:9">
      <c r="A1136" t="s">
        <v>1154</v>
      </c>
      <c r="B1136" t="s">
        <v>15</v>
      </c>
      <c r="C1136" t="str">
        <f t="shared" si="34"/>
        <v>B</v>
      </c>
      <c r="D1136" t="s">
        <v>20</v>
      </c>
      <c r="E1136" t="s">
        <v>10</v>
      </c>
      <c r="F1136" t="str">
        <f t="shared" si="35"/>
        <v>Mobile</v>
      </c>
      <c r="G1136">
        <v>5</v>
      </c>
      <c r="H1136">
        <v>0</v>
      </c>
      <c r="I1136">
        <v>0</v>
      </c>
    </row>
    <row r="1137" spans="1:9">
      <c r="A1137" t="s">
        <v>1155</v>
      </c>
      <c r="B1137" t="s">
        <v>15</v>
      </c>
      <c r="C1137" t="str">
        <f t="shared" si="34"/>
        <v>B</v>
      </c>
      <c r="D1137" t="s">
        <v>13</v>
      </c>
      <c r="E1137" t="s">
        <v>10</v>
      </c>
      <c r="F1137" t="str">
        <f t="shared" si="35"/>
        <v>Mobile</v>
      </c>
      <c r="G1137">
        <v>5</v>
      </c>
      <c r="H1137">
        <v>1</v>
      </c>
      <c r="I1137">
        <v>2542.08</v>
      </c>
    </row>
    <row r="1138" spans="1:9">
      <c r="A1138" t="s">
        <v>1156</v>
      </c>
      <c r="B1138" t="s">
        <v>15</v>
      </c>
      <c r="C1138" t="str">
        <f t="shared" si="34"/>
        <v>B</v>
      </c>
      <c r="D1138" t="s">
        <v>13</v>
      </c>
      <c r="E1138" t="s">
        <v>10</v>
      </c>
      <c r="F1138" t="str">
        <f t="shared" si="35"/>
        <v>Mobile</v>
      </c>
      <c r="G1138">
        <v>9</v>
      </c>
      <c r="H1138">
        <v>0</v>
      </c>
      <c r="I1138">
        <v>0</v>
      </c>
    </row>
    <row r="1139" spans="1:9">
      <c r="A1139" t="s">
        <v>1157</v>
      </c>
      <c r="B1139" t="s">
        <v>15</v>
      </c>
      <c r="C1139" t="str">
        <f t="shared" si="34"/>
        <v>B</v>
      </c>
      <c r="D1139" t="s">
        <v>13</v>
      </c>
      <c r="E1139" t="s">
        <v>23</v>
      </c>
      <c r="F1139" t="str">
        <f t="shared" si="35"/>
        <v>Desktop</v>
      </c>
      <c r="G1139">
        <v>7</v>
      </c>
      <c r="H1139">
        <v>1</v>
      </c>
      <c r="I1139">
        <v>1311.11</v>
      </c>
    </row>
    <row r="1140" spans="1:9">
      <c r="A1140" t="s">
        <v>1158</v>
      </c>
      <c r="B1140" t="s">
        <v>15</v>
      </c>
      <c r="C1140" t="str">
        <f t="shared" si="34"/>
        <v>B</v>
      </c>
      <c r="D1140" t="s">
        <v>18</v>
      </c>
      <c r="E1140" t="s">
        <v>33</v>
      </c>
      <c r="F1140" t="str">
        <f t="shared" si="35"/>
        <v>Desktop</v>
      </c>
      <c r="G1140">
        <v>4</v>
      </c>
      <c r="H1140">
        <v>0</v>
      </c>
      <c r="I1140">
        <v>0</v>
      </c>
    </row>
    <row r="1141" spans="1:9">
      <c r="A1141" t="s">
        <v>1159</v>
      </c>
      <c r="B1141" t="s">
        <v>15</v>
      </c>
      <c r="C1141" t="str">
        <f t="shared" si="34"/>
        <v>B</v>
      </c>
      <c r="D1141" t="s">
        <v>13</v>
      </c>
      <c r="E1141" t="s">
        <v>23</v>
      </c>
      <c r="F1141" t="str">
        <f t="shared" si="35"/>
        <v>Desktop</v>
      </c>
      <c r="G1141">
        <v>9</v>
      </c>
      <c r="H1141">
        <v>1</v>
      </c>
      <c r="I1141">
        <v>2542.17</v>
      </c>
    </row>
    <row r="1142" spans="1:9">
      <c r="A1142" t="s">
        <v>1160</v>
      </c>
      <c r="B1142" t="s">
        <v>15</v>
      </c>
      <c r="C1142" t="str">
        <f t="shared" si="34"/>
        <v>B</v>
      </c>
      <c r="D1142" t="s">
        <v>20</v>
      </c>
      <c r="E1142" t="s">
        <v>23</v>
      </c>
      <c r="F1142" t="str">
        <f t="shared" si="35"/>
        <v>Desktop</v>
      </c>
      <c r="G1142">
        <v>6</v>
      </c>
      <c r="H1142">
        <v>0</v>
      </c>
      <c r="I1142">
        <v>0</v>
      </c>
    </row>
    <row r="1143" spans="1:9">
      <c r="A1143" t="s">
        <v>1161</v>
      </c>
      <c r="B1143" t="s">
        <v>15</v>
      </c>
      <c r="C1143" t="str">
        <f t="shared" si="34"/>
        <v>B</v>
      </c>
      <c r="D1143" t="s">
        <v>9</v>
      </c>
      <c r="E1143" t="s">
        <v>10</v>
      </c>
      <c r="F1143" t="str">
        <f t="shared" si="35"/>
        <v>Mobile</v>
      </c>
      <c r="G1143">
        <v>4</v>
      </c>
      <c r="H1143">
        <v>0</v>
      </c>
      <c r="I1143">
        <v>0</v>
      </c>
    </row>
    <row r="1144" spans="1:9">
      <c r="A1144" t="s">
        <v>1162</v>
      </c>
      <c r="B1144" t="s">
        <v>15</v>
      </c>
      <c r="C1144" t="str">
        <f t="shared" si="34"/>
        <v>B</v>
      </c>
      <c r="D1144" t="s">
        <v>20</v>
      </c>
      <c r="E1144" t="s">
        <v>10</v>
      </c>
      <c r="F1144" t="str">
        <f t="shared" si="35"/>
        <v>Mobile</v>
      </c>
      <c r="G1144">
        <v>5</v>
      </c>
      <c r="H1144">
        <v>0</v>
      </c>
      <c r="I1144">
        <v>0</v>
      </c>
    </row>
    <row r="1145" spans="1:9">
      <c r="A1145" t="s">
        <v>1163</v>
      </c>
      <c r="B1145" t="s">
        <v>15</v>
      </c>
      <c r="C1145" t="str">
        <f t="shared" si="34"/>
        <v>B</v>
      </c>
      <c r="D1145" t="s">
        <v>20</v>
      </c>
      <c r="E1145" t="s">
        <v>10</v>
      </c>
      <c r="F1145" t="str">
        <f t="shared" si="35"/>
        <v>Mobile</v>
      </c>
      <c r="G1145">
        <v>4</v>
      </c>
      <c r="H1145">
        <v>0</v>
      </c>
      <c r="I1145">
        <v>0</v>
      </c>
    </row>
    <row r="1146" spans="1:9">
      <c r="A1146" t="s">
        <v>1164</v>
      </c>
      <c r="B1146" t="s">
        <v>15</v>
      </c>
      <c r="C1146" t="str">
        <f t="shared" si="34"/>
        <v>B</v>
      </c>
      <c r="D1146" t="s">
        <v>20</v>
      </c>
      <c r="E1146" t="s">
        <v>10</v>
      </c>
      <c r="F1146" t="str">
        <f t="shared" si="35"/>
        <v>Mobile</v>
      </c>
      <c r="G1146">
        <v>10</v>
      </c>
      <c r="H1146">
        <v>0</v>
      </c>
      <c r="I1146">
        <v>0</v>
      </c>
    </row>
    <row r="1147" spans="1:9">
      <c r="A1147" t="s">
        <v>1165</v>
      </c>
      <c r="B1147" t="s">
        <v>8</v>
      </c>
      <c r="C1147" t="str">
        <f t="shared" si="34"/>
        <v>A</v>
      </c>
      <c r="D1147" t="s">
        <v>20</v>
      </c>
      <c r="E1147" t="s">
        <v>23</v>
      </c>
      <c r="F1147" t="str">
        <f t="shared" si="35"/>
        <v>Desktop</v>
      </c>
      <c r="G1147">
        <v>5</v>
      </c>
      <c r="H1147">
        <v>0</v>
      </c>
      <c r="I1147">
        <v>0</v>
      </c>
    </row>
    <row r="1148" spans="1:9">
      <c r="A1148" t="s">
        <v>1166</v>
      </c>
      <c r="B1148" t="s">
        <v>15</v>
      </c>
      <c r="C1148" t="str">
        <f t="shared" si="34"/>
        <v>B</v>
      </c>
      <c r="D1148" t="s">
        <v>13</v>
      </c>
      <c r="E1148" t="s">
        <v>23</v>
      </c>
      <c r="F1148" t="str">
        <f t="shared" si="35"/>
        <v>Desktop</v>
      </c>
      <c r="G1148">
        <v>7</v>
      </c>
      <c r="H1148">
        <v>0</v>
      </c>
      <c r="I1148">
        <v>0</v>
      </c>
    </row>
    <row r="1149" spans="1:9">
      <c r="A1149" t="s">
        <v>1167</v>
      </c>
      <c r="B1149" t="s">
        <v>15</v>
      </c>
      <c r="C1149" t="str">
        <f t="shared" si="34"/>
        <v>B</v>
      </c>
      <c r="D1149" t="s">
        <v>13</v>
      </c>
      <c r="E1149" t="s">
        <v>10</v>
      </c>
      <c r="F1149" t="str">
        <f t="shared" si="35"/>
        <v>Mobile</v>
      </c>
      <c r="G1149">
        <v>6</v>
      </c>
      <c r="H1149">
        <v>0</v>
      </c>
      <c r="I1149">
        <v>0</v>
      </c>
    </row>
    <row r="1150" spans="1:9">
      <c r="A1150" t="s">
        <v>1168</v>
      </c>
      <c r="B1150" t="s">
        <v>8</v>
      </c>
      <c r="C1150" t="str">
        <f t="shared" si="34"/>
        <v>A</v>
      </c>
      <c r="D1150" t="s">
        <v>9</v>
      </c>
      <c r="E1150" t="s">
        <v>16</v>
      </c>
      <c r="F1150" t="str">
        <f t="shared" si="35"/>
        <v>Mobile</v>
      </c>
      <c r="G1150">
        <v>3</v>
      </c>
      <c r="H1150">
        <v>0</v>
      </c>
      <c r="I1150">
        <v>0</v>
      </c>
    </row>
    <row r="1151" spans="1:9">
      <c r="A1151" t="s">
        <v>1169</v>
      </c>
      <c r="B1151" t="s">
        <v>15</v>
      </c>
      <c r="C1151" t="str">
        <f t="shared" si="34"/>
        <v>B</v>
      </c>
      <c r="D1151" t="s">
        <v>13</v>
      </c>
      <c r="E1151" t="s">
        <v>10</v>
      </c>
      <c r="F1151" t="str">
        <f t="shared" si="35"/>
        <v>Mobile</v>
      </c>
      <c r="G1151">
        <v>6</v>
      </c>
      <c r="H1151">
        <v>0</v>
      </c>
      <c r="I1151">
        <v>0</v>
      </c>
    </row>
    <row r="1152" spans="1:9">
      <c r="A1152" t="s">
        <v>1170</v>
      </c>
      <c r="B1152" t="s">
        <v>8</v>
      </c>
      <c r="C1152" t="str">
        <f t="shared" si="34"/>
        <v>A</v>
      </c>
      <c r="D1152" t="s">
        <v>13</v>
      </c>
      <c r="E1152" t="s">
        <v>10</v>
      </c>
      <c r="F1152" t="str">
        <f t="shared" si="35"/>
        <v>Mobile</v>
      </c>
      <c r="G1152">
        <v>8</v>
      </c>
      <c r="H1152">
        <v>0</v>
      </c>
      <c r="I1152">
        <v>0</v>
      </c>
    </row>
    <row r="1153" spans="1:9">
      <c r="A1153" t="s">
        <v>1171</v>
      </c>
      <c r="B1153" t="s">
        <v>8</v>
      </c>
      <c r="C1153" t="str">
        <f t="shared" si="34"/>
        <v>A</v>
      </c>
      <c r="D1153" t="s">
        <v>20</v>
      </c>
      <c r="E1153" t="s">
        <v>10</v>
      </c>
      <c r="F1153" t="str">
        <f t="shared" si="35"/>
        <v>Mobile</v>
      </c>
      <c r="G1153">
        <v>9</v>
      </c>
      <c r="H1153">
        <v>0</v>
      </c>
      <c r="I1153">
        <v>0</v>
      </c>
    </row>
    <row r="1154" spans="1:9">
      <c r="A1154" t="s">
        <v>1172</v>
      </c>
      <c r="B1154" t="s">
        <v>15</v>
      </c>
      <c r="C1154" t="str">
        <f t="shared" ref="C1154:C1217" si="36">IF(OR(B1154="control", B1154="A"), "A", "B")</f>
        <v>B</v>
      </c>
      <c r="D1154" t="s">
        <v>20</v>
      </c>
      <c r="E1154" t="s">
        <v>10</v>
      </c>
      <c r="F1154" t="str">
        <f t="shared" ref="F1154:F1217" si="37">PROPER(E1154)</f>
        <v>Mobile</v>
      </c>
      <c r="G1154">
        <v>13</v>
      </c>
      <c r="H1154">
        <v>1</v>
      </c>
      <c r="I1154">
        <v>1280.8499999999999</v>
      </c>
    </row>
    <row r="1155" spans="1:9">
      <c r="A1155" t="s">
        <v>1173</v>
      </c>
      <c r="B1155" t="s">
        <v>8</v>
      </c>
      <c r="C1155" t="str">
        <f t="shared" si="36"/>
        <v>A</v>
      </c>
      <c r="D1155" t="s">
        <v>13</v>
      </c>
      <c r="E1155" t="s">
        <v>10</v>
      </c>
      <c r="F1155" t="str">
        <f t="shared" si="37"/>
        <v>Mobile</v>
      </c>
      <c r="G1155">
        <v>5</v>
      </c>
      <c r="H1155">
        <v>0</v>
      </c>
      <c r="I1155">
        <v>0</v>
      </c>
    </row>
    <row r="1156" spans="1:9">
      <c r="A1156" t="s">
        <v>1174</v>
      </c>
      <c r="B1156" t="s">
        <v>15</v>
      </c>
      <c r="C1156" t="str">
        <f t="shared" si="36"/>
        <v>B</v>
      </c>
      <c r="D1156" t="s">
        <v>13</v>
      </c>
      <c r="E1156" t="s">
        <v>10</v>
      </c>
      <c r="F1156" t="str">
        <f t="shared" si="37"/>
        <v>Mobile</v>
      </c>
      <c r="G1156">
        <v>7</v>
      </c>
      <c r="H1156">
        <v>0</v>
      </c>
      <c r="I1156">
        <v>0</v>
      </c>
    </row>
    <row r="1157" spans="1:9">
      <c r="A1157" t="s">
        <v>1175</v>
      </c>
      <c r="B1157" t="s">
        <v>15</v>
      </c>
      <c r="C1157" t="str">
        <f t="shared" si="36"/>
        <v>B</v>
      </c>
      <c r="D1157" t="s">
        <v>9</v>
      </c>
      <c r="E1157" t="s">
        <v>10</v>
      </c>
      <c r="F1157" t="str">
        <f t="shared" si="37"/>
        <v>Mobile</v>
      </c>
      <c r="G1157">
        <v>6</v>
      </c>
      <c r="H1157">
        <v>1</v>
      </c>
      <c r="I1157">
        <v>5227.4399999999996</v>
      </c>
    </row>
    <row r="1158" spans="1:9">
      <c r="A1158" t="s">
        <v>1176</v>
      </c>
      <c r="B1158" t="s">
        <v>15</v>
      </c>
      <c r="C1158" t="str">
        <f t="shared" si="36"/>
        <v>B</v>
      </c>
      <c r="D1158" t="s">
        <v>20</v>
      </c>
      <c r="E1158" t="s">
        <v>83</v>
      </c>
      <c r="F1158" t="str">
        <f t="shared" si="37"/>
        <v>Tablet</v>
      </c>
      <c r="G1158">
        <v>7</v>
      </c>
      <c r="H1158">
        <v>0</v>
      </c>
      <c r="I1158">
        <v>0</v>
      </c>
    </row>
    <row r="1159" spans="1:9">
      <c r="A1159" t="s">
        <v>1177</v>
      </c>
      <c r="B1159" t="s">
        <v>8</v>
      </c>
      <c r="C1159" t="str">
        <f t="shared" si="36"/>
        <v>A</v>
      </c>
      <c r="D1159" t="s">
        <v>20</v>
      </c>
      <c r="E1159" t="s">
        <v>10</v>
      </c>
      <c r="F1159" t="str">
        <f t="shared" si="37"/>
        <v>Mobile</v>
      </c>
      <c r="G1159">
        <v>4</v>
      </c>
      <c r="H1159">
        <v>0</v>
      </c>
      <c r="I1159">
        <v>0</v>
      </c>
    </row>
    <row r="1160" spans="1:9">
      <c r="A1160" t="s">
        <v>1178</v>
      </c>
      <c r="B1160" t="s">
        <v>8</v>
      </c>
      <c r="C1160" t="str">
        <f t="shared" si="36"/>
        <v>A</v>
      </c>
      <c r="D1160" t="s">
        <v>13</v>
      </c>
      <c r="E1160" t="s">
        <v>10</v>
      </c>
      <c r="F1160" t="str">
        <f t="shared" si="37"/>
        <v>Mobile</v>
      </c>
      <c r="G1160">
        <v>5</v>
      </c>
      <c r="H1160">
        <v>1</v>
      </c>
      <c r="I1160">
        <v>1203.9000000000001</v>
      </c>
    </row>
    <row r="1161" spans="1:9">
      <c r="A1161" t="s">
        <v>1179</v>
      </c>
      <c r="B1161" t="s">
        <v>15</v>
      </c>
      <c r="C1161" t="str">
        <f t="shared" si="36"/>
        <v>B</v>
      </c>
      <c r="D1161" t="s">
        <v>20</v>
      </c>
      <c r="E1161" t="s">
        <v>10</v>
      </c>
      <c r="F1161" t="str">
        <f t="shared" si="37"/>
        <v>Mobile</v>
      </c>
      <c r="G1161">
        <v>10</v>
      </c>
      <c r="H1161">
        <v>0</v>
      </c>
      <c r="I1161">
        <v>0</v>
      </c>
    </row>
    <row r="1162" spans="1:9">
      <c r="A1162" t="s">
        <v>1180</v>
      </c>
      <c r="B1162" t="s">
        <v>29</v>
      </c>
      <c r="C1162" t="str">
        <f t="shared" si="36"/>
        <v>B</v>
      </c>
      <c r="D1162" t="s">
        <v>20</v>
      </c>
      <c r="E1162" t="s">
        <v>23</v>
      </c>
      <c r="F1162" t="str">
        <f t="shared" si="37"/>
        <v>Desktop</v>
      </c>
      <c r="G1162">
        <v>1</v>
      </c>
      <c r="H1162">
        <v>0</v>
      </c>
      <c r="I1162">
        <v>0</v>
      </c>
    </row>
    <row r="1163" spans="1:9">
      <c r="A1163" t="s">
        <v>1181</v>
      </c>
      <c r="B1163" t="s">
        <v>15</v>
      </c>
      <c r="C1163" t="str">
        <f t="shared" si="36"/>
        <v>B</v>
      </c>
      <c r="D1163" t="s">
        <v>13</v>
      </c>
      <c r="E1163" t="s">
        <v>10</v>
      </c>
      <c r="F1163" t="str">
        <f t="shared" si="37"/>
        <v>Mobile</v>
      </c>
      <c r="G1163">
        <v>7</v>
      </c>
      <c r="H1163">
        <v>1</v>
      </c>
      <c r="I1163">
        <v>2906.63</v>
      </c>
    </row>
    <row r="1164" spans="1:9">
      <c r="A1164" t="s">
        <v>1182</v>
      </c>
      <c r="B1164" t="s">
        <v>8</v>
      </c>
      <c r="C1164" t="str">
        <f t="shared" si="36"/>
        <v>A</v>
      </c>
      <c r="D1164" t="s">
        <v>20</v>
      </c>
      <c r="E1164" t="s">
        <v>16</v>
      </c>
      <c r="F1164" t="str">
        <f t="shared" si="37"/>
        <v>Mobile</v>
      </c>
      <c r="G1164">
        <v>7</v>
      </c>
      <c r="H1164">
        <v>0</v>
      </c>
      <c r="I1164">
        <v>0</v>
      </c>
    </row>
    <row r="1165" spans="1:9">
      <c r="A1165" t="s">
        <v>1183</v>
      </c>
      <c r="B1165" t="s">
        <v>15</v>
      </c>
      <c r="C1165" t="str">
        <f t="shared" si="36"/>
        <v>B</v>
      </c>
      <c r="D1165" t="s">
        <v>13</v>
      </c>
      <c r="E1165" t="s">
        <v>10</v>
      </c>
      <c r="F1165" t="str">
        <f t="shared" si="37"/>
        <v>Mobile</v>
      </c>
      <c r="G1165">
        <v>4</v>
      </c>
      <c r="H1165">
        <v>0</v>
      </c>
      <c r="I1165">
        <v>0</v>
      </c>
    </row>
    <row r="1166" spans="1:9">
      <c r="A1166" t="s">
        <v>1184</v>
      </c>
      <c r="B1166" t="s">
        <v>15</v>
      </c>
      <c r="C1166" t="str">
        <f t="shared" si="36"/>
        <v>B</v>
      </c>
      <c r="D1166" t="s">
        <v>20</v>
      </c>
      <c r="E1166" t="s">
        <v>23</v>
      </c>
      <c r="F1166" t="str">
        <f t="shared" si="37"/>
        <v>Desktop</v>
      </c>
      <c r="G1166">
        <v>3</v>
      </c>
      <c r="H1166">
        <v>0</v>
      </c>
      <c r="I1166">
        <v>0</v>
      </c>
    </row>
    <row r="1167" spans="1:9">
      <c r="A1167" t="s">
        <v>1185</v>
      </c>
      <c r="B1167" t="s">
        <v>15</v>
      </c>
      <c r="C1167" t="str">
        <f t="shared" si="36"/>
        <v>B</v>
      </c>
      <c r="D1167" t="s">
        <v>20</v>
      </c>
      <c r="E1167" t="s">
        <v>23</v>
      </c>
      <c r="F1167" t="str">
        <f t="shared" si="37"/>
        <v>Desktop</v>
      </c>
      <c r="G1167">
        <v>4</v>
      </c>
      <c r="H1167">
        <v>0</v>
      </c>
      <c r="I1167">
        <v>0</v>
      </c>
    </row>
    <row r="1168" spans="1:9">
      <c r="A1168" t="s">
        <v>1186</v>
      </c>
      <c r="B1168" t="s">
        <v>8</v>
      </c>
      <c r="C1168" t="str">
        <f t="shared" si="36"/>
        <v>A</v>
      </c>
      <c r="D1168" t="s">
        <v>20</v>
      </c>
      <c r="E1168" t="s">
        <v>10</v>
      </c>
      <c r="F1168" t="str">
        <f t="shared" si="37"/>
        <v>Mobile</v>
      </c>
      <c r="G1168">
        <v>1</v>
      </c>
      <c r="H1168">
        <v>0</v>
      </c>
      <c r="I1168">
        <v>0</v>
      </c>
    </row>
    <row r="1169" spans="1:9">
      <c r="A1169" t="s">
        <v>1187</v>
      </c>
      <c r="B1169" t="s">
        <v>15</v>
      </c>
      <c r="C1169" t="str">
        <f t="shared" si="36"/>
        <v>B</v>
      </c>
      <c r="D1169" t="s">
        <v>9</v>
      </c>
      <c r="E1169" t="s">
        <v>10</v>
      </c>
      <c r="F1169" t="str">
        <f t="shared" si="37"/>
        <v>Mobile</v>
      </c>
      <c r="G1169">
        <v>5</v>
      </c>
      <c r="H1169">
        <v>1</v>
      </c>
      <c r="I1169">
        <v>4524.13</v>
      </c>
    </row>
    <row r="1170" spans="1:9">
      <c r="A1170" t="s">
        <v>1188</v>
      </c>
      <c r="B1170" t="s">
        <v>15</v>
      </c>
      <c r="C1170" t="str">
        <f t="shared" si="36"/>
        <v>B</v>
      </c>
      <c r="D1170" t="s">
        <v>20</v>
      </c>
      <c r="E1170" t="s">
        <v>10</v>
      </c>
      <c r="F1170" t="str">
        <f t="shared" si="37"/>
        <v>Mobile</v>
      </c>
      <c r="G1170">
        <v>4</v>
      </c>
      <c r="H1170">
        <v>0</v>
      </c>
      <c r="I1170">
        <v>0</v>
      </c>
    </row>
    <row r="1171" spans="1:9">
      <c r="A1171" t="s">
        <v>1189</v>
      </c>
      <c r="B1171" t="s">
        <v>29</v>
      </c>
      <c r="C1171" t="str">
        <f t="shared" si="36"/>
        <v>B</v>
      </c>
      <c r="D1171" t="s">
        <v>13</v>
      </c>
      <c r="E1171" t="s">
        <v>23</v>
      </c>
      <c r="F1171" t="str">
        <f t="shared" si="37"/>
        <v>Desktop</v>
      </c>
      <c r="G1171">
        <v>9</v>
      </c>
      <c r="H1171">
        <v>0</v>
      </c>
      <c r="I1171">
        <v>0</v>
      </c>
    </row>
    <row r="1172" spans="1:9">
      <c r="A1172" t="s">
        <v>1190</v>
      </c>
      <c r="B1172" t="s">
        <v>8</v>
      </c>
      <c r="C1172" t="str">
        <f t="shared" si="36"/>
        <v>A</v>
      </c>
      <c r="D1172" t="s">
        <v>20</v>
      </c>
      <c r="E1172" t="s">
        <v>10</v>
      </c>
      <c r="F1172" t="str">
        <f t="shared" si="37"/>
        <v>Mobile</v>
      </c>
      <c r="G1172">
        <v>8</v>
      </c>
      <c r="H1172">
        <v>0</v>
      </c>
      <c r="I1172">
        <v>0</v>
      </c>
    </row>
    <row r="1173" spans="1:9">
      <c r="A1173" t="s">
        <v>1191</v>
      </c>
      <c r="B1173" t="s">
        <v>15</v>
      </c>
      <c r="C1173" t="str">
        <f t="shared" si="36"/>
        <v>B</v>
      </c>
      <c r="D1173" t="s">
        <v>9</v>
      </c>
      <c r="E1173" t="s">
        <v>10</v>
      </c>
      <c r="F1173" t="str">
        <f t="shared" si="37"/>
        <v>Mobile</v>
      </c>
      <c r="G1173">
        <v>4</v>
      </c>
      <c r="H1173">
        <v>1</v>
      </c>
      <c r="I1173">
        <v>5768.73</v>
      </c>
    </row>
    <row r="1174" spans="1:9">
      <c r="A1174" t="s">
        <v>1192</v>
      </c>
      <c r="B1174" t="s">
        <v>12</v>
      </c>
      <c r="C1174" t="str">
        <f t="shared" si="36"/>
        <v>A</v>
      </c>
      <c r="D1174" t="s">
        <v>20</v>
      </c>
      <c r="E1174" t="s">
        <v>83</v>
      </c>
      <c r="F1174" t="str">
        <f t="shared" si="37"/>
        <v>Tablet</v>
      </c>
      <c r="G1174">
        <v>8</v>
      </c>
      <c r="H1174">
        <v>0</v>
      </c>
      <c r="I1174">
        <v>0</v>
      </c>
    </row>
    <row r="1175" spans="1:9">
      <c r="A1175" t="s">
        <v>1193</v>
      </c>
      <c r="B1175" t="s">
        <v>8</v>
      </c>
      <c r="C1175" t="str">
        <f t="shared" si="36"/>
        <v>A</v>
      </c>
      <c r="D1175" t="s">
        <v>13</v>
      </c>
      <c r="E1175" t="s">
        <v>10</v>
      </c>
      <c r="F1175" t="str">
        <f t="shared" si="37"/>
        <v>Mobile</v>
      </c>
      <c r="G1175">
        <v>1</v>
      </c>
      <c r="H1175">
        <v>0</v>
      </c>
      <c r="I1175">
        <v>0</v>
      </c>
    </row>
    <row r="1176" spans="1:9">
      <c r="A1176" t="s">
        <v>1194</v>
      </c>
      <c r="B1176" t="s">
        <v>12</v>
      </c>
      <c r="C1176" t="str">
        <f t="shared" si="36"/>
        <v>A</v>
      </c>
      <c r="D1176" t="s">
        <v>13</v>
      </c>
      <c r="E1176" t="s">
        <v>23</v>
      </c>
      <c r="F1176" t="str">
        <f t="shared" si="37"/>
        <v>Desktop</v>
      </c>
      <c r="G1176">
        <v>3</v>
      </c>
      <c r="H1176">
        <v>0</v>
      </c>
      <c r="I1176">
        <v>0</v>
      </c>
    </row>
    <row r="1177" spans="1:9">
      <c r="A1177" t="s">
        <v>1195</v>
      </c>
      <c r="B1177" t="s">
        <v>15</v>
      </c>
      <c r="C1177" t="str">
        <f t="shared" si="36"/>
        <v>B</v>
      </c>
      <c r="D1177" t="s">
        <v>18</v>
      </c>
      <c r="E1177" t="s">
        <v>23</v>
      </c>
      <c r="F1177" t="str">
        <f t="shared" si="37"/>
        <v>Desktop</v>
      </c>
      <c r="G1177">
        <v>6</v>
      </c>
      <c r="H1177">
        <v>0</v>
      </c>
      <c r="I1177">
        <v>0</v>
      </c>
    </row>
    <row r="1178" spans="1:9">
      <c r="A1178" t="s">
        <v>1196</v>
      </c>
      <c r="B1178" t="s">
        <v>8</v>
      </c>
      <c r="C1178" t="str">
        <f t="shared" si="36"/>
        <v>A</v>
      </c>
      <c r="D1178" t="s">
        <v>20</v>
      </c>
      <c r="E1178" t="s">
        <v>10</v>
      </c>
      <c r="F1178" t="str">
        <f t="shared" si="37"/>
        <v>Mobile</v>
      </c>
      <c r="G1178">
        <v>8</v>
      </c>
      <c r="H1178">
        <v>0</v>
      </c>
      <c r="I1178">
        <v>0</v>
      </c>
    </row>
    <row r="1179" spans="1:9">
      <c r="A1179" t="s">
        <v>1197</v>
      </c>
      <c r="B1179" t="s">
        <v>8</v>
      </c>
      <c r="C1179" t="str">
        <f t="shared" si="36"/>
        <v>A</v>
      </c>
      <c r="D1179" t="s">
        <v>20</v>
      </c>
      <c r="E1179" t="s">
        <v>10</v>
      </c>
      <c r="F1179" t="str">
        <f t="shared" si="37"/>
        <v>Mobile</v>
      </c>
      <c r="G1179">
        <v>6</v>
      </c>
      <c r="H1179">
        <v>1</v>
      </c>
      <c r="I1179">
        <v>1157.73</v>
      </c>
    </row>
    <row r="1180" spans="1:9">
      <c r="A1180" t="s">
        <v>1198</v>
      </c>
      <c r="B1180" t="s">
        <v>15</v>
      </c>
      <c r="C1180" t="str">
        <f t="shared" si="36"/>
        <v>B</v>
      </c>
      <c r="D1180" t="s">
        <v>20</v>
      </c>
      <c r="E1180" t="s">
        <v>10</v>
      </c>
      <c r="F1180" t="str">
        <f t="shared" si="37"/>
        <v>Mobile</v>
      </c>
      <c r="G1180">
        <v>7</v>
      </c>
      <c r="H1180">
        <v>0</v>
      </c>
      <c r="I1180">
        <v>0</v>
      </c>
    </row>
    <row r="1181" spans="1:9">
      <c r="A1181" t="s">
        <v>1199</v>
      </c>
      <c r="B1181" t="s">
        <v>8</v>
      </c>
      <c r="C1181" t="str">
        <f t="shared" si="36"/>
        <v>A</v>
      </c>
      <c r="D1181" t="s">
        <v>9</v>
      </c>
      <c r="E1181" t="s">
        <v>23</v>
      </c>
      <c r="F1181" t="str">
        <f t="shared" si="37"/>
        <v>Desktop</v>
      </c>
      <c r="G1181">
        <v>5</v>
      </c>
      <c r="H1181">
        <v>1</v>
      </c>
      <c r="I1181">
        <v>5674.97</v>
      </c>
    </row>
    <row r="1182" spans="1:9">
      <c r="A1182" t="s">
        <v>1200</v>
      </c>
      <c r="B1182" t="s">
        <v>15</v>
      </c>
      <c r="C1182" t="str">
        <f t="shared" si="36"/>
        <v>B</v>
      </c>
      <c r="D1182" t="s">
        <v>13</v>
      </c>
      <c r="E1182" t="s">
        <v>23</v>
      </c>
      <c r="F1182" t="str">
        <f t="shared" si="37"/>
        <v>Desktop</v>
      </c>
      <c r="G1182">
        <v>4</v>
      </c>
      <c r="H1182">
        <v>0</v>
      </c>
      <c r="I1182">
        <v>0</v>
      </c>
    </row>
    <row r="1183" spans="1:9">
      <c r="A1183" t="s">
        <v>1201</v>
      </c>
      <c r="B1183" t="s">
        <v>8</v>
      </c>
      <c r="C1183" t="str">
        <f t="shared" si="36"/>
        <v>A</v>
      </c>
      <c r="D1183" t="s">
        <v>9</v>
      </c>
      <c r="E1183" t="s">
        <v>23</v>
      </c>
      <c r="F1183" t="str">
        <f t="shared" si="37"/>
        <v>Desktop</v>
      </c>
      <c r="G1183">
        <v>4</v>
      </c>
      <c r="H1183">
        <v>1</v>
      </c>
      <c r="I1183">
        <v>5158.5</v>
      </c>
    </row>
    <row r="1184" spans="1:9">
      <c r="A1184" t="s">
        <v>1202</v>
      </c>
      <c r="B1184" t="s">
        <v>15</v>
      </c>
      <c r="C1184" t="str">
        <f t="shared" si="36"/>
        <v>B</v>
      </c>
      <c r="D1184" t="s">
        <v>20</v>
      </c>
      <c r="E1184" t="s">
        <v>33</v>
      </c>
      <c r="F1184" t="str">
        <f t="shared" si="37"/>
        <v>Desktop</v>
      </c>
      <c r="G1184">
        <v>7</v>
      </c>
      <c r="H1184">
        <v>0</v>
      </c>
      <c r="I1184">
        <v>0</v>
      </c>
    </row>
    <row r="1185" spans="1:9">
      <c r="A1185" t="s">
        <v>1203</v>
      </c>
      <c r="B1185" t="s">
        <v>8</v>
      </c>
      <c r="C1185" t="str">
        <f t="shared" si="36"/>
        <v>A</v>
      </c>
      <c r="D1185" t="s">
        <v>20</v>
      </c>
      <c r="E1185" t="s">
        <v>23</v>
      </c>
      <c r="F1185" t="str">
        <f t="shared" si="37"/>
        <v>Desktop</v>
      </c>
      <c r="G1185">
        <v>4</v>
      </c>
      <c r="H1185">
        <v>0</v>
      </c>
      <c r="I1185">
        <v>0</v>
      </c>
    </row>
    <row r="1186" spans="1:9">
      <c r="A1186" t="s">
        <v>1204</v>
      </c>
      <c r="B1186" t="s">
        <v>15</v>
      </c>
      <c r="C1186" t="str">
        <f t="shared" si="36"/>
        <v>B</v>
      </c>
      <c r="D1186" t="s">
        <v>20</v>
      </c>
      <c r="E1186" t="s">
        <v>10</v>
      </c>
      <c r="F1186" t="str">
        <f t="shared" si="37"/>
        <v>Mobile</v>
      </c>
      <c r="G1186">
        <v>4</v>
      </c>
      <c r="H1186">
        <v>0</v>
      </c>
      <c r="I1186">
        <v>0</v>
      </c>
    </row>
    <row r="1187" spans="1:9">
      <c r="A1187" t="s">
        <v>1205</v>
      </c>
      <c r="B1187" t="s">
        <v>29</v>
      </c>
      <c r="C1187" t="str">
        <f t="shared" si="36"/>
        <v>B</v>
      </c>
      <c r="D1187" t="s">
        <v>18</v>
      </c>
      <c r="E1187" t="s">
        <v>10</v>
      </c>
      <c r="F1187" t="str">
        <f t="shared" si="37"/>
        <v>Mobile</v>
      </c>
      <c r="G1187">
        <v>8</v>
      </c>
      <c r="H1187">
        <v>0</v>
      </c>
      <c r="I1187">
        <v>0</v>
      </c>
    </row>
    <row r="1188" spans="1:9">
      <c r="A1188" t="s">
        <v>1206</v>
      </c>
      <c r="B1188" t="s">
        <v>29</v>
      </c>
      <c r="C1188" t="str">
        <f t="shared" si="36"/>
        <v>B</v>
      </c>
      <c r="D1188" t="s">
        <v>13</v>
      </c>
      <c r="E1188" t="s">
        <v>16</v>
      </c>
      <c r="F1188" t="str">
        <f t="shared" si="37"/>
        <v>Mobile</v>
      </c>
      <c r="G1188">
        <v>6</v>
      </c>
      <c r="H1188">
        <v>0</v>
      </c>
      <c r="I1188">
        <v>0</v>
      </c>
    </row>
    <row r="1189" spans="1:9">
      <c r="A1189" t="s">
        <v>1207</v>
      </c>
      <c r="B1189" t="s">
        <v>15</v>
      </c>
      <c r="C1189" t="str">
        <f t="shared" si="36"/>
        <v>B</v>
      </c>
      <c r="D1189" t="s">
        <v>18</v>
      </c>
      <c r="E1189" t="s">
        <v>10</v>
      </c>
      <c r="F1189" t="str">
        <f t="shared" si="37"/>
        <v>Mobile</v>
      </c>
      <c r="G1189">
        <v>6</v>
      </c>
      <c r="H1189">
        <v>0</v>
      </c>
      <c r="I1189">
        <v>0</v>
      </c>
    </row>
    <row r="1190" spans="1:9">
      <c r="A1190" t="s">
        <v>1208</v>
      </c>
      <c r="B1190" t="s">
        <v>8</v>
      </c>
      <c r="C1190" t="str">
        <f t="shared" si="36"/>
        <v>A</v>
      </c>
      <c r="D1190" t="s">
        <v>20</v>
      </c>
      <c r="E1190" t="s">
        <v>10</v>
      </c>
      <c r="F1190" t="str">
        <f t="shared" si="37"/>
        <v>Mobile</v>
      </c>
      <c r="G1190">
        <v>5</v>
      </c>
      <c r="H1190">
        <v>0</v>
      </c>
      <c r="I1190">
        <v>0</v>
      </c>
    </row>
    <row r="1191" spans="1:9">
      <c r="A1191" t="s">
        <v>1209</v>
      </c>
      <c r="B1191" t="s">
        <v>15</v>
      </c>
      <c r="C1191" t="str">
        <f t="shared" si="36"/>
        <v>B</v>
      </c>
      <c r="D1191" t="s">
        <v>13</v>
      </c>
      <c r="E1191" t="s">
        <v>23</v>
      </c>
      <c r="F1191" t="str">
        <f t="shared" si="37"/>
        <v>Desktop</v>
      </c>
      <c r="G1191">
        <v>6</v>
      </c>
      <c r="H1191">
        <v>0</v>
      </c>
      <c r="I1191">
        <v>0</v>
      </c>
    </row>
    <row r="1192" spans="1:9">
      <c r="A1192" t="s">
        <v>1210</v>
      </c>
      <c r="B1192" t="s">
        <v>8</v>
      </c>
      <c r="C1192" t="str">
        <f t="shared" si="36"/>
        <v>A</v>
      </c>
      <c r="D1192" t="s">
        <v>13</v>
      </c>
      <c r="E1192" t="s">
        <v>10</v>
      </c>
      <c r="F1192" t="str">
        <f t="shared" si="37"/>
        <v>Mobile</v>
      </c>
      <c r="G1192">
        <v>6</v>
      </c>
      <c r="H1192">
        <v>0</v>
      </c>
      <c r="I1192">
        <v>0</v>
      </c>
    </row>
    <row r="1193" spans="1:9">
      <c r="A1193" t="s">
        <v>1211</v>
      </c>
      <c r="B1193" t="s">
        <v>8</v>
      </c>
      <c r="C1193" t="str">
        <f t="shared" si="36"/>
        <v>A</v>
      </c>
      <c r="D1193" t="s">
        <v>20</v>
      </c>
      <c r="E1193" t="s">
        <v>33</v>
      </c>
      <c r="F1193" t="str">
        <f t="shared" si="37"/>
        <v>Desktop</v>
      </c>
      <c r="G1193">
        <v>4</v>
      </c>
      <c r="H1193">
        <v>0</v>
      </c>
      <c r="I1193">
        <v>0</v>
      </c>
    </row>
    <row r="1194" spans="1:9">
      <c r="A1194" t="s">
        <v>1212</v>
      </c>
      <c r="B1194" t="s">
        <v>8</v>
      </c>
      <c r="C1194" t="str">
        <f t="shared" si="36"/>
        <v>A</v>
      </c>
      <c r="D1194" t="s">
        <v>9</v>
      </c>
      <c r="E1194" t="s">
        <v>23</v>
      </c>
      <c r="F1194" t="str">
        <f t="shared" si="37"/>
        <v>Desktop</v>
      </c>
      <c r="G1194">
        <v>2</v>
      </c>
      <c r="H1194">
        <v>0</v>
      </c>
      <c r="I1194">
        <v>0</v>
      </c>
    </row>
    <row r="1195" spans="1:9">
      <c r="A1195" t="s">
        <v>1213</v>
      </c>
      <c r="B1195" t="s">
        <v>15</v>
      </c>
      <c r="C1195" t="str">
        <f t="shared" si="36"/>
        <v>B</v>
      </c>
      <c r="D1195" t="s">
        <v>18</v>
      </c>
      <c r="E1195" t="s">
        <v>10</v>
      </c>
      <c r="F1195" t="str">
        <f t="shared" si="37"/>
        <v>Mobile</v>
      </c>
      <c r="G1195">
        <v>6</v>
      </c>
      <c r="H1195">
        <v>0</v>
      </c>
      <c r="I1195">
        <v>0</v>
      </c>
    </row>
    <row r="1196" spans="1:9">
      <c r="A1196" t="s">
        <v>1214</v>
      </c>
      <c r="B1196" t="s">
        <v>15</v>
      </c>
      <c r="C1196" t="str">
        <f t="shared" si="36"/>
        <v>B</v>
      </c>
      <c r="D1196" t="s">
        <v>9</v>
      </c>
      <c r="E1196" t="s">
        <v>33</v>
      </c>
      <c r="F1196" t="str">
        <f t="shared" si="37"/>
        <v>Desktop</v>
      </c>
      <c r="G1196">
        <v>6</v>
      </c>
      <c r="H1196">
        <v>0</v>
      </c>
      <c r="I1196">
        <v>0</v>
      </c>
    </row>
    <row r="1197" spans="1:9">
      <c r="A1197" t="s">
        <v>1215</v>
      </c>
      <c r="B1197" t="s">
        <v>15</v>
      </c>
      <c r="C1197" t="str">
        <f t="shared" si="36"/>
        <v>B</v>
      </c>
      <c r="D1197" t="s">
        <v>13</v>
      </c>
      <c r="E1197" t="s">
        <v>10</v>
      </c>
      <c r="F1197" t="str">
        <f t="shared" si="37"/>
        <v>Mobile</v>
      </c>
      <c r="G1197">
        <v>4</v>
      </c>
      <c r="H1197">
        <v>0</v>
      </c>
      <c r="I1197">
        <v>0</v>
      </c>
    </row>
    <row r="1198" spans="1:9">
      <c r="A1198" t="s">
        <v>1216</v>
      </c>
      <c r="B1198" t="s">
        <v>8</v>
      </c>
      <c r="C1198" t="str">
        <f t="shared" si="36"/>
        <v>A</v>
      </c>
      <c r="D1198" t="s">
        <v>20</v>
      </c>
      <c r="E1198" t="s">
        <v>10</v>
      </c>
      <c r="F1198" t="str">
        <f t="shared" si="37"/>
        <v>Mobile</v>
      </c>
      <c r="G1198">
        <v>4</v>
      </c>
      <c r="H1198">
        <v>0</v>
      </c>
      <c r="I1198">
        <v>0</v>
      </c>
    </row>
    <row r="1199" spans="1:9">
      <c r="A1199" t="s">
        <v>1217</v>
      </c>
      <c r="B1199" t="s">
        <v>8</v>
      </c>
      <c r="C1199" t="str">
        <f t="shared" si="36"/>
        <v>A</v>
      </c>
      <c r="D1199" t="s">
        <v>20</v>
      </c>
      <c r="E1199" t="s">
        <v>10</v>
      </c>
      <c r="F1199" t="str">
        <f t="shared" si="37"/>
        <v>Mobile</v>
      </c>
      <c r="G1199">
        <v>4</v>
      </c>
      <c r="H1199">
        <v>0</v>
      </c>
      <c r="I1199">
        <v>0</v>
      </c>
    </row>
    <row r="1200" spans="1:9">
      <c r="A1200" t="s">
        <v>1218</v>
      </c>
      <c r="B1200" t="s">
        <v>29</v>
      </c>
      <c r="C1200" t="str">
        <f t="shared" si="36"/>
        <v>B</v>
      </c>
      <c r="D1200" t="s">
        <v>18</v>
      </c>
      <c r="E1200" t="s">
        <v>10</v>
      </c>
      <c r="F1200" t="str">
        <f t="shared" si="37"/>
        <v>Mobile</v>
      </c>
      <c r="G1200">
        <v>8</v>
      </c>
      <c r="H1200">
        <v>0</v>
      </c>
      <c r="I1200">
        <v>0</v>
      </c>
    </row>
    <row r="1201" spans="1:9">
      <c r="A1201" t="s">
        <v>1219</v>
      </c>
      <c r="B1201" t="s">
        <v>8</v>
      </c>
      <c r="C1201" t="str">
        <f t="shared" si="36"/>
        <v>A</v>
      </c>
      <c r="D1201" t="s">
        <v>20</v>
      </c>
      <c r="E1201" t="s">
        <v>10</v>
      </c>
      <c r="F1201" t="str">
        <f t="shared" si="37"/>
        <v>Mobile</v>
      </c>
      <c r="G1201">
        <v>5</v>
      </c>
      <c r="H1201">
        <v>0</v>
      </c>
      <c r="I1201">
        <v>0</v>
      </c>
    </row>
    <row r="1202" spans="1:9">
      <c r="A1202" t="s">
        <v>1220</v>
      </c>
      <c r="B1202" t="s">
        <v>8</v>
      </c>
      <c r="C1202" t="str">
        <f t="shared" si="36"/>
        <v>A</v>
      </c>
      <c r="D1202" t="s">
        <v>13</v>
      </c>
      <c r="E1202" t="s">
        <v>10</v>
      </c>
      <c r="F1202" t="str">
        <f t="shared" si="37"/>
        <v>Mobile</v>
      </c>
      <c r="G1202">
        <v>5</v>
      </c>
      <c r="H1202">
        <v>0</v>
      </c>
      <c r="I1202">
        <v>0</v>
      </c>
    </row>
    <row r="1203" spans="1:9">
      <c r="A1203" t="s">
        <v>1221</v>
      </c>
      <c r="B1203" t="s">
        <v>8</v>
      </c>
      <c r="C1203" t="str">
        <f t="shared" si="36"/>
        <v>A</v>
      </c>
      <c r="D1203" t="s">
        <v>13</v>
      </c>
      <c r="E1203" t="s">
        <v>10</v>
      </c>
      <c r="F1203" t="str">
        <f t="shared" si="37"/>
        <v>Mobile</v>
      </c>
      <c r="G1203">
        <v>4</v>
      </c>
      <c r="H1203">
        <v>0</v>
      </c>
      <c r="I1203">
        <v>0</v>
      </c>
    </row>
    <row r="1204" spans="1:9">
      <c r="A1204" t="s">
        <v>1222</v>
      </c>
      <c r="B1204" t="s">
        <v>15</v>
      </c>
      <c r="C1204" t="str">
        <f t="shared" si="36"/>
        <v>B</v>
      </c>
      <c r="D1204" t="s">
        <v>13</v>
      </c>
      <c r="E1204" t="s">
        <v>10</v>
      </c>
      <c r="F1204" t="str">
        <f t="shared" si="37"/>
        <v>Mobile</v>
      </c>
      <c r="G1204">
        <v>5</v>
      </c>
      <c r="H1204">
        <v>0</v>
      </c>
      <c r="I1204">
        <v>0</v>
      </c>
    </row>
    <row r="1205" spans="1:9">
      <c r="A1205" t="s">
        <v>1223</v>
      </c>
      <c r="B1205" t="s">
        <v>15</v>
      </c>
      <c r="C1205" t="str">
        <f t="shared" si="36"/>
        <v>B</v>
      </c>
      <c r="D1205" t="s">
        <v>18</v>
      </c>
      <c r="E1205" t="s">
        <v>23</v>
      </c>
      <c r="F1205" t="str">
        <f t="shared" si="37"/>
        <v>Desktop</v>
      </c>
      <c r="G1205">
        <v>5</v>
      </c>
      <c r="H1205">
        <v>1</v>
      </c>
      <c r="I1205">
        <v>1507.97</v>
      </c>
    </row>
    <row r="1206" spans="1:9">
      <c r="A1206" t="s">
        <v>1224</v>
      </c>
      <c r="B1206" t="s">
        <v>8</v>
      </c>
      <c r="C1206" t="str">
        <f t="shared" si="36"/>
        <v>A</v>
      </c>
      <c r="D1206" t="s">
        <v>20</v>
      </c>
      <c r="E1206" t="s">
        <v>23</v>
      </c>
      <c r="F1206" t="str">
        <f t="shared" si="37"/>
        <v>Desktop</v>
      </c>
      <c r="G1206">
        <v>6</v>
      </c>
      <c r="H1206">
        <v>0</v>
      </c>
      <c r="I1206">
        <v>0</v>
      </c>
    </row>
    <row r="1207" spans="1:9">
      <c r="A1207" t="s">
        <v>1225</v>
      </c>
      <c r="B1207" t="s">
        <v>8</v>
      </c>
      <c r="C1207" t="str">
        <f t="shared" si="36"/>
        <v>A</v>
      </c>
      <c r="D1207" t="s">
        <v>20</v>
      </c>
      <c r="E1207" t="s">
        <v>10</v>
      </c>
      <c r="F1207" t="str">
        <f t="shared" si="37"/>
        <v>Mobile</v>
      </c>
      <c r="G1207">
        <v>7</v>
      </c>
      <c r="H1207">
        <v>1</v>
      </c>
      <c r="I1207">
        <v>1104.44</v>
      </c>
    </row>
    <row r="1208" spans="1:9">
      <c r="A1208" t="s">
        <v>1226</v>
      </c>
      <c r="B1208" t="s">
        <v>15</v>
      </c>
      <c r="C1208" t="str">
        <f t="shared" si="36"/>
        <v>B</v>
      </c>
      <c r="D1208" t="s">
        <v>20</v>
      </c>
      <c r="E1208" t="s">
        <v>10</v>
      </c>
      <c r="F1208" t="str">
        <f t="shared" si="37"/>
        <v>Mobile</v>
      </c>
      <c r="G1208">
        <v>8</v>
      </c>
      <c r="H1208">
        <v>1</v>
      </c>
      <c r="I1208">
        <v>1462.54</v>
      </c>
    </row>
    <row r="1209" spans="1:9">
      <c r="A1209" t="s">
        <v>1227</v>
      </c>
      <c r="B1209" t="s">
        <v>15</v>
      </c>
      <c r="C1209" t="str">
        <f t="shared" si="36"/>
        <v>B</v>
      </c>
      <c r="D1209" t="s">
        <v>13</v>
      </c>
      <c r="E1209" t="s">
        <v>10</v>
      </c>
      <c r="F1209" t="str">
        <f t="shared" si="37"/>
        <v>Mobile</v>
      </c>
      <c r="G1209">
        <v>8</v>
      </c>
      <c r="H1209">
        <v>0</v>
      </c>
      <c r="I1209">
        <v>0</v>
      </c>
    </row>
    <row r="1210" spans="1:9">
      <c r="A1210" t="s">
        <v>1228</v>
      </c>
      <c r="B1210" t="s">
        <v>8</v>
      </c>
      <c r="C1210" t="str">
        <f t="shared" si="36"/>
        <v>A</v>
      </c>
      <c r="D1210" t="s">
        <v>20</v>
      </c>
      <c r="E1210" t="s">
        <v>10</v>
      </c>
      <c r="F1210" t="str">
        <f t="shared" si="37"/>
        <v>Mobile</v>
      </c>
      <c r="G1210">
        <v>12</v>
      </c>
      <c r="H1210">
        <v>0</v>
      </c>
      <c r="I1210">
        <v>0</v>
      </c>
    </row>
    <row r="1211" spans="1:9">
      <c r="A1211" t="s">
        <v>1229</v>
      </c>
      <c r="B1211" t="s">
        <v>12</v>
      </c>
      <c r="C1211" t="str">
        <f t="shared" si="36"/>
        <v>A</v>
      </c>
      <c r="D1211" t="s">
        <v>20</v>
      </c>
      <c r="E1211" t="s">
        <v>23</v>
      </c>
      <c r="F1211" t="str">
        <f t="shared" si="37"/>
        <v>Desktop</v>
      </c>
      <c r="G1211">
        <v>4</v>
      </c>
      <c r="H1211">
        <v>1</v>
      </c>
      <c r="I1211">
        <v>729.01</v>
      </c>
    </row>
    <row r="1212" spans="1:9">
      <c r="A1212" t="s">
        <v>1230</v>
      </c>
      <c r="B1212" t="s">
        <v>8</v>
      </c>
      <c r="C1212" t="str">
        <f t="shared" si="36"/>
        <v>A</v>
      </c>
      <c r="D1212" t="s">
        <v>9</v>
      </c>
      <c r="E1212" t="s">
        <v>23</v>
      </c>
      <c r="F1212" t="str">
        <f t="shared" si="37"/>
        <v>Desktop</v>
      </c>
      <c r="G1212">
        <v>2</v>
      </c>
      <c r="H1212">
        <v>1</v>
      </c>
      <c r="I1212">
        <v>4918.6899999999996</v>
      </c>
    </row>
    <row r="1213" spans="1:9">
      <c r="A1213" t="s">
        <v>1231</v>
      </c>
      <c r="B1213" t="s">
        <v>8</v>
      </c>
      <c r="C1213" t="str">
        <f t="shared" si="36"/>
        <v>A</v>
      </c>
      <c r="D1213" t="s">
        <v>18</v>
      </c>
      <c r="E1213" t="s">
        <v>10</v>
      </c>
      <c r="F1213" t="str">
        <f t="shared" si="37"/>
        <v>Mobile</v>
      </c>
      <c r="G1213">
        <v>4</v>
      </c>
      <c r="H1213">
        <v>0</v>
      </c>
      <c r="I1213">
        <v>0</v>
      </c>
    </row>
    <row r="1214" spans="1:9">
      <c r="A1214" t="s">
        <v>1232</v>
      </c>
      <c r="B1214" t="s">
        <v>12</v>
      </c>
      <c r="C1214" t="str">
        <f t="shared" si="36"/>
        <v>A</v>
      </c>
      <c r="D1214" t="s">
        <v>20</v>
      </c>
      <c r="E1214" t="s">
        <v>10</v>
      </c>
      <c r="F1214" t="str">
        <f t="shared" si="37"/>
        <v>Mobile</v>
      </c>
      <c r="G1214">
        <v>3</v>
      </c>
      <c r="H1214">
        <v>0</v>
      </c>
      <c r="I1214">
        <v>0</v>
      </c>
    </row>
    <row r="1215" spans="1:9">
      <c r="A1215" t="s">
        <v>1233</v>
      </c>
      <c r="B1215" t="s">
        <v>8</v>
      </c>
      <c r="C1215" t="str">
        <f t="shared" si="36"/>
        <v>A</v>
      </c>
      <c r="D1215" t="s">
        <v>20</v>
      </c>
      <c r="E1215" t="s">
        <v>10</v>
      </c>
      <c r="F1215" t="str">
        <f t="shared" si="37"/>
        <v>Mobile</v>
      </c>
      <c r="G1215">
        <v>11</v>
      </c>
      <c r="H1215">
        <v>0</v>
      </c>
      <c r="I1215">
        <v>0</v>
      </c>
    </row>
    <row r="1216" spans="1:9">
      <c r="A1216" t="s">
        <v>1234</v>
      </c>
      <c r="B1216" t="s">
        <v>15</v>
      </c>
      <c r="C1216" t="str">
        <f t="shared" si="36"/>
        <v>B</v>
      </c>
      <c r="D1216" t="s">
        <v>18</v>
      </c>
      <c r="E1216" t="s">
        <v>23</v>
      </c>
      <c r="F1216" t="str">
        <f t="shared" si="37"/>
        <v>Desktop</v>
      </c>
      <c r="G1216">
        <v>8</v>
      </c>
      <c r="H1216">
        <v>0</v>
      </c>
      <c r="I1216">
        <v>0</v>
      </c>
    </row>
    <row r="1217" spans="1:9">
      <c r="A1217" t="s">
        <v>1235</v>
      </c>
      <c r="B1217" t="s">
        <v>8</v>
      </c>
      <c r="C1217" t="str">
        <f t="shared" si="36"/>
        <v>A</v>
      </c>
      <c r="D1217" t="s">
        <v>20</v>
      </c>
      <c r="E1217" t="s">
        <v>10</v>
      </c>
      <c r="F1217" t="str">
        <f t="shared" si="37"/>
        <v>Mobile</v>
      </c>
      <c r="G1217">
        <v>8</v>
      </c>
      <c r="H1217">
        <v>0</v>
      </c>
      <c r="I1217">
        <v>0</v>
      </c>
    </row>
    <row r="1218" spans="1:9">
      <c r="A1218" t="s">
        <v>1236</v>
      </c>
      <c r="B1218" t="s">
        <v>8</v>
      </c>
      <c r="C1218" t="str">
        <f t="shared" ref="C1218:C1281" si="38">IF(OR(B1218="control", B1218="A"), "A", "B")</f>
        <v>A</v>
      </c>
      <c r="D1218" t="s">
        <v>20</v>
      </c>
      <c r="E1218" t="s">
        <v>83</v>
      </c>
      <c r="F1218" t="str">
        <f t="shared" ref="F1218:F1281" si="39">PROPER(E1218)</f>
        <v>Tablet</v>
      </c>
      <c r="G1218">
        <v>6</v>
      </c>
      <c r="H1218">
        <v>0</v>
      </c>
      <c r="I1218">
        <v>0</v>
      </c>
    </row>
    <row r="1219" spans="1:9">
      <c r="A1219" t="s">
        <v>1237</v>
      </c>
      <c r="B1219" t="s">
        <v>29</v>
      </c>
      <c r="C1219" t="str">
        <f t="shared" si="38"/>
        <v>B</v>
      </c>
      <c r="D1219" t="s">
        <v>20</v>
      </c>
      <c r="E1219" t="s">
        <v>23</v>
      </c>
      <c r="F1219" t="str">
        <f t="shared" si="39"/>
        <v>Desktop</v>
      </c>
      <c r="G1219">
        <v>11</v>
      </c>
      <c r="H1219">
        <v>0</v>
      </c>
      <c r="I1219">
        <v>0</v>
      </c>
    </row>
    <row r="1220" spans="1:9">
      <c r="A1220" t="s">
        <v>1238</v>
      </c>
      <c r="B1220" t="s">
        <v>8</v>
      </c>
      <c r="C1220" t="str">
        <f t="shared" si="38"/>
        <v>A</v>
      </c>
      <c r="D1220" t="s">
        <v>13</v>
      </c>
      <c r="E1220" t="s">
        <v>10</v>
      </c>
      <c r="F1220" t="str">
        <f t="shared" si="39"/>
        <v>Mobile</v>
      </c>
      <c r="G1220">
        <v>3</v>
      </c>
      <c r="H1220">
        <v>1</v>
      </c>
      <c r="I1220">
        <v>2164.94</v>
      </c>
    </row>
    <row r="1221" spans="1:9">
      <c r="A1221" t="s">
        <v>1239</v>
      </c>
      <c r="B1221" t="s">
        <v>15</v>
      </c>
      <c r="C1221" t="str">
        <f t="shared" si="38"/>
        <v>B</v>
      </c>
      <c r="D1221" t="s">
        <v>20</v>
      </c>
      <c r="E1221" t="s">
        <v>23</v>
      </c>
      <c r="F1221" t="str">
        <f t="shared" si="39"/>
        <v>Desktop</v>
      </c>
      <c r="G1221">
        <v>3</v>
      </c>
      <c r="H1221">
        <v>0</v>
      </c>
      <c r="I1221">
        <v>0</v>
      </c>
    </row>
    <row r="1222" spans="1:9">
      <c r="A1222" t="s">
        <v>1240</v>
      </c>
      <c r="B1222" t="s">
        <v>8</v>
      </c>
      <c r="C1222" t="str">
        <f t="shared" si="38"/>
        <v>A</v>
      </c>
      <c r="D1222" t="s">
        <v>18</v>
      </c>
      <c r="E1222" t="s">
        <v>33</v>
      </c>
      <c r="F1222" t="str">
        <f t="shared" si="39"/>
        <v>Desktop</v>
      </c>
      <c r="G1222">
        <v>2</v>
      </c>
      <c r="H1222">
        <v>0</v>
      </c>
      <c r="I1222">
        <v>0</v>
      </c>
    </row>
    <row r="1223" spans="1:9">
      <c r="A1223" t="s">
        <v>1241</v>
      </c>
      <c r="B1223" t="s">
        <v>8</v>
      </c>
      <c r="C1223" t="str">
        <f t="shared" si="38"/>
        <v>A</v>
      </c>
      <c r="D1223" t="s">
        <v>13</v>
      </c>
      <c r="E1223" t="s">
        <v>23</v>
      </c>
      <c r="F1223" t="str">
        <f t="shared" si="39"/>
        <v>Desktop</v>
      </c>
      <c r="G1223">
        <v>6</v>
      </c>
      <c r="H1223">
        <v>0</v>
      </c>
      <c r="I1223">
        <v>0</v>
      </c>
    </row>
    <row r="1224" spans="1:9">
      <c r="A1224" t="s">
        <v>1242</v>
      </c>
      <c r="B1224" t="s">
        <v>8</v>
      </c>
      <c r="C1224" t="str">
        <f t="shared" si="38"/>
        <v>A</v>
      </c>
      <c r="D1224" t="s">
        <v>13</v>
      </c>
      <c r="E1224" t="s">
        <v>10</v>
      </c>
      <c r="F1224" t="str">
        <f t="shared" si="39"/>
        <v>Mobile</v>
      </c>
      <c r="G1224">
        <v>4</v>
      </c>
      <c r="H1224">
        <v>0</v>
      </c>
      <c r="I1224">
        <v>0</v>
      </c>
    </row>
    <row r="1225" spans="1:9">
      <c r="A1225" t="s">
        <v>1243</v>
      </c>
      <c r="B1225" t="s">
        <v>15</v>
      </c>
      <c r="C1225" t="str">
        <f t="shared" si="38"/>
        <v>B</v>
      </c>
      <c r="D1225" t="s">
        <v>20</v>
      </c>
      <c r="E1225" t="s">
        <v>10</v>
      </c>
      <c r="F1225" t="str">
        <f t="shared" si="39"/>
        <v>Mobile</v>
      </c>
      <c r="G1225">
        <v>14</v>
      </c>
      <c r="H1225">
        <v>1</v>
      </c>
      <c r="I1225">
        <v>1495.55</v>
      </c>
    </row>
    <row r="1226" spans="1:9">
      <c r="A1226" t="s">
        <v>1244</v>
      </c>
      <c r="B1226" t="s">
        <v>8</v>
      </c>
      <c r="C1226" t="str">
        <f t="shared" si="38"/>
        <v>A</v>
      </c>
      <c r="D1226" t="s">
        <v>13</v>
      </c>
      <c r="E1226" t="s">
        <v>16</v>
      </c>
      <c r="F1226" t="str">
        <f t="shared" si="39"/>
        <v>Mobile</v>
      </c>
      <c r="G1226">
        <v>5</v>
      </c>
      <c r="H1226">
        <v>0</v>
      </c>
      <c r="I1226">
        <v>0</v>
      </c>
    </row>
    <row r="1227" spans="1:9">
      <c r="A1227" t="s">
        <v>1245</v>
      </c>
      <c r="B1227" t="s">
        <v>15</v>
      </c>
      <c r="C1227" t="str">
        <f t="shared" si="38"/>
        <v>B</v>
      </c>
      <c r="D1227" t="s">
        <v>13</v>
      </c>
      <c r="E1227" t="s">
        <v>23</v>
      </c>
      <c r="F1227" t="str">
        <f t="shared" si="39"/>
        <v>Desktop</v>
      </c>
      <c r="G1227">
        <v>5</v>
      </c>
      <c r="H1227">
        <v>0</v>
      </c>
      <c r="I1227">
        <v>0</v>
      </c>
    </row>
    <row r="1228" spans="1:9">
      <c r="A1228" t="s">
        <v>1246</v>
      </c>
      <c r="B1228" t="s">
        <v>15</v>
      </c>
      <c r="C1228" t="str">
        <f t="shared" si="38"/>
        <v>B</v>
      </c>
      <c r="D1228" t="s">
        <v>13</v>
      </c>
      <c r="E1228" t="s">
        <v>23</v>
      </c>
      <c r="F1228" t="str">
        <f t="shared" si="39"/>
        <v>Desktop</v>
      </c>
      <c r="G1228">
        <v>8</v>
      </c>
      <c r="H1228">
        <v>0</v>
      </c>
      <c r="I1228">
        <v>0</v>
      </c>
    </row>
    <row r="1229" spans="1:9">
      <c r="A1229" t="s">
        <v>1247</v>
      </c>
      <c r="B1229" t="s">
        <v>29</v>
      </c>
      <c r="C1229" t="str">
        <f t="shared" si="38"/>
        <v>B</v>
      </c>
      <c r="D1229" t="s">
        <v>13</v>
      </c>
      <c r="E1229" t="s">
        <v>16</v>
      </c>
      <c r="F1229" t="str">
        <f t="shared" si="39"/>
        <v>Mobile</v>
      </c>
      <c r="G1229">
        <v>8</v>
      </c>
      <c r="H1229">
        <v>1</v>
      </c>
      <c r="I1229">
        <v>1906.6</v>
      </c>
    </row>
    <row r="1230" spans="1:9">
      <c r="A1230" t="s">
        <v>1248</v>
      </c>
      <c r="B1230" t="s">
        <v>8</v>
      </c>
      <c r="C1230" t="str">
        <f t="shared" si="38"/>
        <v>A</v>
      </c>
      <c r="D1230" t="s">
        <v>13</v>
      </c>
      <c r="E1230" t="s">
        <v>16</v>
      </c>
      <c r="F1230" t="str">
        <f t="shared" si="39"/>
        <v>Mobile</v>
      </c>
      <c r="G1230">
        <v>7</v>
      </c>
      <c r="H1230">
        <v>0</v>
      </c>
      <c r="I1230">
        <v>0</v>
      </c>
    </row>
    <row r="1231" spans="1:9">
      <c r="A1231" t="s">
        <v>1249</v>
      </c>
      <c r="B1231" t="s">
        <v>15</v>
      </c>
      <c r="C1231" t="str">
        <f t="shared" si="38"/>
        <v>B</v>
      </c>
      <c r="D1231" t="s">
        <v>9</v>
      </c>
      <c r="E1231" t="s">
        <v>33</v>
      </c>
      <c r="F1231" t="str">
        <f t="shared" si="39"/>
        <v>Desktop</v>
      </c>
      <c r="G1231">
        <v>6</v>
      </c>
      <c r="H1231">
        <v>0</v>
      </c>
      <c r="I1231">
        <v>0</v>
      </c>
    </row>
    <row r="1232" spans="1:9">
      <c r="A1232" t="s">
        <v>1250</v>
      </c>
      <c r="B1232" t="s">
        <v>15</v>
      </c>
      <c r="C1232" t="str">
        <f t="shared" si="38"/>
        <v>B</v>
      </c>
      <c r="D1232" t="s">
        <v>9</v>
      </c>
      <c r="E1232" t="s">
        <v>10</v>
      </c>
      <c r="F1232" t="str">
        <f t="shared" si="39"/>
        <v>Mobile</v>
      </c>
      <c r="G1232">
        <v>10</v>
      </c>
      <c r="H1232">
        <v>0</v>
      </c>
      <c r="I1232">
        <v>0</v>
      </c>
    </row>
    <row r="1233" spans="1:9">
      <c r="A1233" t="s">
        <v>1251</v>
      </c>
      <c r="B1233" t="s">
        <v>15</v>
      </c>
      <c r="C1233" t="str">
        <f t="shared" si="38"/>
        <v>B</v>
      </c>
      <c r="D1233" t="s">
        <v>13</v>
      </c>
      <c r="E1233" t="s">
        <v>23</v>
      </c>
      <c r="F1233" t="str">
        <f t="shared" si="39"/>
        <v>Desktop</v>
      </c>
      <c r="G1233">
        <v>4</v>
      </c>
      <c r="H1233">
        <v>0</v>
      </c>
      <c r="I1233">
        <v>0</v>
      </c>
    </row>
    <row r="1234" spans="1:9">
      <c r="A1234" t="s">
        <v>1252</v>
      </c>
      <c r="B1234" t="s">
        <v>15</v>
      </c>
      <c r="C1234" t="str">
        <f t="shared" si="38"/>
        <v>B</v>
      </c>
      <c r="D1234" t="s">
        <v>20</v>
      </c>
      <c r="E1234" t="s">
        <v>23</v>
      </c>
      <c r="F1234" t="str">
        <f t="shared" si="39"/>
        <v>Desktop</v>
      </c>
      <c r="G1234">
        <v>9</v>
      </c>
      <c r="H1234">
        <v>0</v>
      </c>
      <c r="I1234">
        <v>0</v>
      </c>
    </row>
    <row r="1235" spans="1:9">
      <c r="A1235" t="s">
        <v>1253</v>
      </c>
      <c r="B1235" t="s">
        <v>15</v>
      </c>
      <c r="C1235" t="str">
        <f t="shared" si="38"/>
        <v>B</v>
      </c>
      <c r="D1235" t="s">
        <v>20</v>
      </c>
      <c r="E1235" t="s">
        <v>23</v>
      </c>
      <c r="F1235" t="str">
        <f t="shared" si="39"/>
        <v>Desktop</v>
      </c>
      <c r="G1235">
        <v>8</v>
      </c>
      <c r="H1235">
        <v>1</v>
      </c>
      <c r="I1235">
        <v>1413.6</v>
      </c>
    </row>
    <row r="1236" spans="1:9">
      <c r="A1236" t="s">
        <v>1254</v>
      </c>
      <c r="B1236" t="s">
        <v>15</v>
      </c>
      <c r="C1236" t="str">
        <f t="shared" si="38"/>
        <v>B</v>
      </c>
      <c r="D1236" t="s">
        <v>20</v>
      </c>
      <c r="E1236" t="s">
        <v>23</v>
      </c>
      <c r="F1236" t="str">
        <f t="shared" si="39"/>
        <v>Desktop</v>
      </c>
      <c r="G1236">
        <v>6</v>
      </c>
      <c r="H1236">
        <v>0</v>
      </c>
      <c r="I1236">
        <v>0</v>
      </c>
    </row>
    <row r="1237" spans="1:9">
      <c r="A1237" t="s">
        <v>1255</v>
      </c>
      <c r="B1237" t="s">
        <v>8</v>
      </c>
      <c r="C1237" t="str">
        <f t="shared" si="38"/>
        <v>A</v>
      </c>
      <c r="D1237" t="s">
        <v>13</v>
      </c>
      <c r="E1237" t="s">
        <v>10</v>
      </c>
      <c r="F1237" t="str">
        <f t="shared" si="39"/>
        <v>Mobile</v>
      </c>
      <c r="G1237">
        <v>6</v>
      </c>
      <c r="H1237">
        <v>0</v>
      </c>
      <c r="I1237">
        <v>0</v>
      </c>
    </row>
    <row r="1238" spans="1:9">
      <c r="A1238" t="s">
        <v>1256</v>
      </c>
      <c r="B1238" t="s">
        <v>8</v>
      </c>
      <c r="C1238" t="str">
        <f t="shared" si="38"/>
        <v>A</v>
      </c>
      <c r="D1238" t="s">
        <v>20</v>
      </c>
      <c r="E1238" t="s">
        <v>23</v>
      </c>
      <c r="F1238" t="str">
        <f t="shared" si="39"/>
        <v>Desktop</v>
      </c>
      <c r="G1238">
        <v>10</v>
      </c>
      <c r="H1238">
        <v>0</v>
      </c>
      <c r="I1238">
        <v>0</v>
      </c>
    </row>
    <row r="1239" spans="1:9">
      <c r="A1239" t="s">
        <v>1257</v>
      </c>
      <c r="B1239" t="s">
        <v>12</v>
      </c>
      <c r="C1239" t="str">
        <f t="shared" si="38"/>
        <v>A</v>
      </c>
      <c r="D1239" t="s">
        <v>20</v>
      </c>
      <c r="E1239" t="s">
        <v>23</v>
      </c>
      <c r="F1239" t="str">
        <f t="shared" si="39"/>
        <v>Desktop</v>
      </c>
      <c r="G1239">
        <v>8</v>
      </c>
      <c r="H1239">
        <v>0</v>
      </c>
      <c r="I1239">
        <v>0</v>
      </c>
    </row>
    <row r="1240" spans="1:9">
      <c r="A1240" t="s">
        <v>1258</v>
      </c>
      <c r="B1240" t="s">
        <v>15</v>
      </c>
      <c r="C1240" t="str">
        <f t="shared" si="38"/>
        <v>B</v>
      </c>
      <c r="D1240" t="s">
        <v>9</v>
      </c>
      <c r="E1240" t="s">
        <v>10</v>
      </c>
      <c r="F1240" t="str">
        <f t="shared" si="39"/>
        <v>Mobile</v>
      </c>
      <c r="G1240">
        <v>9</v>
      </c>
      <c r="H1240">
        <v>0</v>
      </c>
      <c r="I1240">
        <v>0</v>
      </c>
    </row>
    <row r="1241" spans="1:9">
      <c r="A1241" t="s">
        <v>1259</v>
      </c>
      <c r="B1241" t="s">
        <v>15</v>
      </c>
      <c r="C1241" t="str">
        <f t="shared" si="38"/>
        <v>B</v>
      </c>
      <c r="D1241" t="s">
        <v>9</v>
      </c>
      <c r="E1241" t="s">
        <v>10</v>
      </c>
      <c r="F1241" t="str">
        <f t="shared" si="39"/>
        <v>Mobile</v>
      </c>
      <c r="G1241">
        <v>4</v>
      </c>
      <c r="H1241">
        <v>0</v>
      </c>
      <c r="I1241">
        <v>0</v>
      </c>
    </row>
    <row r="1242" spans="1:9">
      <c r="A1242" t="s">
        <v>1260</v>
      </c>
      <c r="B1242" t="s">
        <v>15</v>
      </c>
      <c r="C1242" t="str">
        <f t="shared" si="38"/>
        <v>B</v>
      </c>
      <c r="D1242" t="s">
        <v>9</v>
      </c>
      <c r="E1242" t="s">
        <v>10</v>
      </c>
      <c r="F1242" t="str">
        <f t="shared" si="39"/>
        <v>Mobile</v>
      </c>
      <c r="G1242">
        <v>4</v>
      </c>
      <c r="H1242">
        <v>0</v>
      </c>
      <c r="I1242">
        <v>0</v>
      </c>
    </row>
    <row r="1243" spans="1:9">
      <c r="A1243" t="s">
        <v>1261</v>
      </c>
      <c r="B1243" t="s">
        <v>8</v>
      </c>
      <c r="C1243" t="str">
        <f t="shared" si="38"/>
        <v>A</v>
      </c>
      <c r="D1243" t="s">
        <v>20</v>
      </c>
      <c r="E1243" t="s">
        <v>10</v>
      </c>
      <c r="F1243" t="str">
        <f t="shared" si="39"/>
        <v>Mobile</v>
      </c>
      <c r="G1243">
        <v>8</v>
      </c>
      <c r="H1243">
        <v>0</v>
      </c>
      <c r="I1243">
        <v>0</v>
      </c>
    </row>
    <row r="1244" spans="1:9">
      <c r="A1244" t="s">
        <v>1262</v>
      </c>
      <c r="B1244" t="s">
        <v>8</v>
      </c>
      <c r="C1244" t="str">
        <f t="shared" si="38"/>
        <v>A</v>
      </c>
      <c r="D1244" t="s">
        <v>13</v>
      </c>
      <c r="E1244" t="s">
        <v>10</v>
      </c>
      <c r="F1244" t="str">
        <f t="shared" si="39"/>
        <v>Mobile</v>
      </c>
      <c r="G1244">
        <v>6</v>
      </c>
      <c r="H1244">
        <v>0</v>
      </c>
      <c r="I1244">
        <v>0</v>
      </c>
    </row>
    <row r="1245" spans="1:9">
      <c r="A1245" t="s">
        <v>1263</v>
      </c>
      <c r="B1245" t="s">
        <v>15</v>
      </c>
      <c r="C1245" t="str">
        <f t="shared" si="38"/>
        <v>B</v>
      </c>
      <c r="D1245" t="s">
        <v>20</v>
      </c>
      <c r="E1245" t="s">
        <v>10</v>
      </c>
      <c r="F1245" t="str">
        <f t="shared" si="39"/>
        <v>Mobile</v>
      </c>
      <c r="G1245">
        <v>4</v>
      </c>
      <c r="H1245">
        <v>1</v>
      </c>
      <c r="I1245">
        <v>1364.96</v>
      </c>
    </row>
    <row r="1246" spans="1:9">
      <c r="A1246" t="s">
        <v>1264</v>
      </c>
      <c r="B1246" t="s">
        <v>8</v>
      </c>
      <c r="C1246" t="str">
        <f t="shared" si="38"/>
        <v>A</v>
      </c>
      <c r="D1246" t="s">
        <v>20</v>
      </c>
      <c r="E1246" t="s">
        <v>23</v>
      </c>
      <c r="F1246" t="str">
        <f t="shared" si="39"/>
        <v>Desktop</v>
      </c>
      <c r="G1246">
        <v>4</v>
      </c>
      <c r="H1246">
        <v>0</v>
      </c>
      <c r="I1246">
        <v>0</v>
      </c>
    </row>
    <row r="1247" spans="1:9">
      <c r="A1247" t="s">
        <v>1265</v>
      </c>
      <c r="B1247" t="s">
        <v>8</v>
      </c>
      <c r="C1247" t="str">
        <f t="shared" si="38"/>
        <v>A</v>
      </c>
      <c r="D1247" t="s">
        <v>20</v>
      </c>
      <c r="E1247" t="s">
        <v>23</v>
      </c>
      <c r="F1247" t="str">
        <f t="shared" si="39"/>
        <v>Desktop</v>
      </c>
      <c r="G1247">
        <v>6</v>
      </c>
      <c r="H1247">
        <v>0</v>
      </c>
      <c r="I1247">
        <v>0</v>
      </c>
    </row>
    <row r="1248" spans="1:9">
      <c r="A1248" t="s">
        <v>1266</v>
      </c>
      <c r="B1248" t="s">
        <v>15</v>
      </c>
      <c r="C1248" t="str">
        <f t="shared" si="38"/>
        <v>B</v>
      </c>
      <c r="D1248" t="s">
        <v>20</v>
      </c>
      <c r="E1248" t="s">
        <v>23</v>
      </c>
      <c r="F1248" t="str">
        <f t="shared" si="39"/>
        <v>Desktop</v>
      </c>
      <c r="G1248">
        <v>10</v>
      </c>
      <c r="H1248">
        <v>0</v>
      </c>
      <c r="I1248">
        <v>0</v>
      </c>
    </row>
    <row r="1249" spans="1:9">
      <c r="A1249" t="s">
        <v>1267</v>
      </c>
      <c r="B1249" t="s">
        <v>8</v>
      </c>
      <c r="C1249" t="str">
        <f t="shared" si="38"/>
        <v>A</v>
      </c>
      <c r="D1249" t="s">
        <v>13</v>
      </c>
      <c r="E1249" t="s">
        <v>16</v>
      </c>
      <c r="F1249" t="str">
        <f t="shared" si="39"/>
        <v>Mobile</v>
      </c>
      <c r="G1249">
        <v>6</v>
      </c>
      <c r="H1249">
        <v>0</v>
      </c>
      <c r="I1249">
        <v>0</v>
      </c>
    </row>
    <row r="1250" spans="1:9">
      <c r="A1250" t="s">
        <v>1268</v>
      </c>
      <c r="B1250" t="s">
        <v>15</v>
      </c>
      <c r="C1250" t="str">
        <f t="shared" si="38"/>
        <v>B</v>
      </c>
      <c r="D1250" t="s">
        <v>9</v>
      </c>
      <c r="E1250" t="s">
        <v>10</v>
      </c>
      <c r="F1250" t="str">
        <f t="shared" si="39"/>
        <v>Mobile</v>
      </c>
      <c r="G1250">
        <v>5</v>
      </c>
      <c r="H1250">
        <v>0</v>
      </c>
      <c r="I1250">
        <v>0</v>
      </c>
    </row>
    <row r="1251" spans="1:9">
      <c r="A1251" t="s">
        <v>1269</v>
      </c>
      <c r="B1251" t="s">
        <v>8</v>
      </c>
      <c r="C1251" t="str">
        <f t="shared" si="38"/>
        <v>A</v>
      </c>
      <c r="D1251" t="s">
        <v>20</v>
      </c>
      <c r="E1251" t="s">
        <v>10</v>
      </c>
      <c r="F1251" t="str">
        <f t="shared" si="39"/>
        <v>Mobile</v>
      </c>
      <c r="G1251">
        <v>2</v>
      </c>
      <c r="H1251">
        <v>0</v>
      </c>
      <c r="I1251">
        <v>0</v>
      </c>
    </row>
    <row r="1252" spans="1:9">
      <c r="A1252" t="s">
        <v>1270</v>
      </c>
      <c r="B1252" t="s">
        <v>15</v>
      </c>
      <c r="C1252" t="str">
        <f t="shared" si="38"/>
        <v>B</v>
      </c>
      <c r="D1252" t="s">
        <v>13</v>
      </c>
      <c r="E1252" t="s">
        <v>16</v>
      </c>
      <c r="F1252" t="str">
        <f t="shared" si="39"/>
        <v>Mobile</v>
      </c>
      <c r="G1252">
        <v>8</v>
      </c>
      <c r="H1252">
        <v>0</v>
      </c>
      <c r="I1252">
        <v>0</v>
      </c>
    </row>
    <row r="1253" spans="1:9">
      <c r="A1253" t="s">
        <v>1271</v>
      </c>
      <c r="B1253" t="s">
        <v>8</v>
      </c>
      <c r="C1253" t="str">
        <f t="shared" si="38"/>
        <v>A</v>
      </c>
      <c r="D1253" t="s">
        <v>13</v>
      </c>
      <c r="E1253" t="s">
        <v>10</v>
      </c>
      <c r="F1253" t="str">
        <f t="shared" si="39"/>
        <v>Mobile</v>
      </c>
      <c r="G1253">
        <v>6</v>
      </c>
      <c r="H1253">
        <v>0</v>
      </c>
      <c r="I1253">
        <v>0</v>
      </c>
    </row>
    <row r="1254" spans="1:9">
      <c r="A1254" t="s">
        <v>1272</v>
      </c>
      <c r="B1254" t="s">
        <v>8</v>
      </c>
      <c r="C1254" t="str">
        <f t="shared" si="38"/>
        <v>A</v>
      </c>
      <c r="D1254" t="s">
        <v>20</v>
      </c>
      <c r="E1254" t="s">
        <v>83</v>
      </c>
      <c r="F1254" t="str">
        <f t="shared" si="39"/>
        <v>Tablet</v>
      </c>
      <c r="G1254">
        <v>5</v>
      </c>
      <c r="H1254">
        <v>0</v>
      </c>
      <c r="I1254">
        <v>0</v>
      </c>
    </row>
    <row r="1255" spans="1:9">
      <c r="A1255" t="s">
        <v>1273</v>
      </c>
      <c r="B1255" t="s">
        <v>8</v>
      </c>
      <c r="C1255" t="str">
        <f t="shared" si="38"/>
        <v>A</v>
      </c>
      <c r="D1255" t="s">
        <v>13</v>
      </c>
      <c r="E1255" t="s">
        <v>16</v>
      </c>
      <c r="F1255" t="str">
        <f t="shared" si="39"/>
        <v>Mobile</v>
      </c>
      <c r="G1255">
        <v>10</v>
      </c>
      <c r="H1255">
        <v>0</v>
      </c>
      <c r="I1255">
        <v>0</v>
      </c>
    </row>
    <row r="1256" spans="1:9">
      <c r="A1256" t="s">
        <v>1274</v>
      </c>
      <c r="B1256" t="s">
        <v>8</v>
      </c>
      <c r="C1256" t="str">
        <f t="shared" si="38"/>
        <v>A</v>
      </c>
      <c r="D1256" t="s">
        <v>20</v>
      </c>
      <c r="E1256" t="s">
        <v>10</v>
      </c>
      <c r="F1256" t="str">
        <f t="shared" si="39"/>
        <v>Mobile</v>
      </c>
      <c r="G1256">
        <v>2</v>
      </c>
      <c r="H1256">
        <v>0</v>
      </c>
      <c r="I1256">
        <v>0</v>
      </c>
    </row>
    <row r="1257" spans="1:9">
      <c r="A1257" t="s">
        <v>1275</v>
      </c>
      <c r="B1257" t="s">
        <v>8</v>
      </c>
      <c r="C1257" t="str">
        <f t="shared" si="38"/>
        <v>A</v>
      </c>
      <c r="D1257" t="s">
        <v>13</v>
      </c>
      <c r="E1257" t="s">
        <v>83</v>
      </c>
      <c r="F1257" t="str">
        <f t="shared" si="39"/>
        <v>Tablet</v>
      </c>
      <c r="G1257">
        <v>10</v>
      </c>
      <c r="H1257">
        <v>0</v>
      </c>
      <c r="I1257">
        <v>0</v>
      </c>
    </row>
    <row r="1258" spans="1:9">
      <c r="A1258" t="s">
        <v>1276</v>
      </c>
      <c r="B1258" t="s">
        <v>15</v>
      </c>
      <c r="C1258" t="str">
        <f t="shared" si="38"/>
        <v>B</v>
      </c>
      <c r="D1258" t="s">
        <v>13</v>
      </c>
      <c r="E1258" t="s">
        <v>10</v>
      </c>
      <c r="F1258" t="str">
        <f t="shared" si="39"/>
        <v>Mobile</v>
      </c>
      <c r="G1258">
        <v>1</v>
      </c>
      <c r="H1258">
        <v>0</v>
      </c>
      <c r="I1258">
        <v>0</v>
      </c>
    </row>
    <row r="1259" spans="1:9">
      <c r="A1259" t="s">
        <v>1277</v>
      </c>
      <c r="B1259" t="s">
        <v>15</v>
      </c>
      <c r="C1259" t="str">
        <f t="shared" si="38"/>
        <v>B</v>
      </c>
      <c r="D1259" t="s">
        <v>20</v>
      </c>
      <c r="E1259" t="s">
        <v>10</v>
      </c>
      <c r="F1259" t="str">
        <f t="shared" si="39"/>
        <v>Mobile</v>
      </c>
      <c r="G1259">
        <v>6</v>
      </c>
      <c r="H1259">
        <v>0</v>
      </c>
      <c r="I1259">
        <v>0</v>
      </c>
    </row>
    <row r="1260" spans="1:9">
      <c r="A1260" t="s">
        <v>1278</v>
      </c>
      <c r="B1260" t="s">
        <v>8</v>
      </c>
      <c r="C1260" t="str">
        <f t="shared" si="38"/>
        <v>A</v>
      </c>
      <c r="D1260" t="s">
        <v>20</v>
      </c>
      <c r="E1260" t="s">
        <v>23</v>
      </c>
      <c r="F1260" t="str">
        <f t="shared" si="39"/>
        <v>Desktop</v>
      </c>
      <c r="G1260">
        <v>4</v>
      </c>
      <c r="H1260">
        <v>0</v>
      </c>
      <c r="I1260">
        <v>0</v>
      </c>
    </row>
    <row r="1261" spans="1:9">
      <c r="A1261" t="s">
        <v>1279</v>
      </c>
      <c r="B1261" t="s">
        <v>15</v>
      </c>
      <c r="C1261" t="str">
        <f t="shared" si="38"/>
        <v>B</v>
      </c>
      <c r="D1261" t="s">
        <v>13</v>
      </c>
      <c r="E1261" t="s">
        <v>10</v>
      </c>
      <c r="F1261" t="str">
        <f t="shared" si="39"/>
        <v>Mobile</v>
      </c>
      <c r="G1261">
        <v>7</v>
      </c>
      <c r="H1261">
        <v>0</v>
      </c>
      <c r="I1261">
        <v>0</v>
      </c>
    </row>
    <row r="1262" spans="1:9">
      <c r="A1262" t="s">
        <v>1280</v>
      </c>
      <c r="B1262" t="s">
        <v>15</v>
      </c>
      <c r="C1262" t="str">
        <f t="shared" si="38"/>
        <v>B</v>
      </c>
      <c r="D1262" t="s">
        <v>9</v>
      </c>
      <c r="E1262" t="s">
        <v>33</v>
      </c>
      <c r="F1262" t="str">
        <f t="shared" si="39"/>
        <v>Desktop</v>
      </c>
      <c r="G1262">
        <v>3</v>
      </c>
      <c r="H1262">
        <v>0</v>
      </c>
      <c r="I1262">
        <v>0</v>
      </c>
    </row>
    <row r="1263" spans="1:9">
      <c r="A1263" t="s">
        <v>1281</v>
      </c>
      <c r="B1263" t="s">
        <v>15</v>
      </c>
      <c r="C1263" t="str">
        <f t="shared" si="38"/>
        <v>B</v>
      </c>
      <c r="D1263" t="s">
        <v>20</v>
      </c>
      <c r="E1263" t="s">
        <v>10</v>
      </c>
      <c r="F1263" t="str">
        <f t="shared" si="39"/>
        <v>Mobile</v>
      </c>
      <c r="G1263">
        <v>4</v>
      </c>
      <c r="H1263">
        <v>0</v>
      </c>
      <c r="I1263">
        <v>0</v>
      </c>
    </row>
    <row r="1264" spans="1:9">
      <c r="A1264" t="s">
        <v>1282</v>
      </c>
      <c r="B1264" t="s">
        <v>8</v>
      </c>
      <c r="C1264" t="str">
        <f t="shared" si="38"/>
        <v>A</v>
      </c>
      <c r="D1264" t="s">
        <v>13</v>
      </c>
      <c r="E1264" t="s">
        <v>23</v>
      </c>
      <c r="F1264" t="str">
        <f t="shared" si="39"/>
        <v>Desktop</v>
      </c>
      <c r="G1264">
        <v>5</v>
      </c>
      <c r="H1264">
        <v>0</v>
      </c>
      <c r="I1264">
        <v>0</v>
      </c>
    </row>
    <row r="1265" spans="1:9">
      <c r="A1265" t="s">
        <v>1283</v>
      </c>
      <c r="B1265" t="s">
        <v>15</v>
      </c>
      <c r="C1265" t="str">
        <f t="shared" si="38"/>
        <v>B</v>
      </c>
      <c r="D1265" t="s">
        <v>13</v>
      </c>
      <c r="E1265" t="s">
        <v>23</v>
      </c>
      <c r="F1265" t="str">
        <f t="shared" si="39"/>
        <v>Desktop</v>
      </c>
      <c r="G1265">
        <v>5</v>
      </c>
      <c r="H1265">
        <v>0</v>
      </c>
      <c r="I1265">
        <v>0</v>
      </c>
    </row>
    <row r="1266" spans="1:9">
      <c r="A1266" t="s">
        <v>1284</v>
      </c>
      <c r="B1266" t="s">
        <v>8</v>
      </c>
      <c r="C1266" t="str">
        <f t="shared" si="38"/>
        <v>A</v>
      </c>
      <c r="D1266" t="s">
        <v>18</v>
      </c>
      <c r="E1266" t="s">
        <v>23</v>
      </c>
      <c r="F1266" t="str">
        <f t="shared" si="39"/>
        <v>Desktop</v>
      </c>
      <c r="G1266">
        <v>4</v>
      </c>
      <c r="H1266">
        <v>0</v>
      </c>
      <c r="I1266">
        <v>0</v>
      </c>
    </row>
    <row r="1267" spans="1:9">
      <c r="A1267" t="s">
        <v>1285</v>
      </c>
      <c r="B1267" t="s">
        <v>8</v>
      </c>
      <c r="C1267" t="str">
        <f t="shared" si="38"/>
        <v>A</v>
      </c>
      <c r="D1267" t="s">
        <v>9</v>
      </c>
      <c r="E1267" t="s">
        <v>10</v>
      </c>
      <c r="F1267" t="str">
        <f t="shared" si="39"/>
        <v>Mobile</v>
      </c>
      <c r="G1267">
        <v>3</v>
      </c>
      <c r="H1267">
        <v>0</v>
      </c>
      <c r="I1267">
        <v>0</v>
      </c>
    </row>
    <row r="1268" spans="1:9">
      <c r="A1268" t="s">
        <v>1286</v>
      </c>
      <c r="B1268" t="s">
        <v>29</v>
      </c>
      <c r="C1268" t="str">
        <f t="shared" si="38"/>
        <v>B</v>
      </c>
      <c r="D1268" t="s">
        <v>13</v>
      </c>
      <c r="E1268" t="s">
        <v>10</v>
      </c>
      <c r="F1268" t="str">
        <f t="shared" si="39"/>
        <v>Mobile</v>
      </c>
      <c r="G1268">
        <v>7</v>
      </c>
      <c r="H1268">
        <v>0</v>
      </c>
      <c r="I1268">
        <v>0</v>
      </c>
    </row>
    <row r="1269" spans="1:9">
      <c r="A1269" t="s">
        <v>1287</v>
      </c>
      <c r="B1269" t="s">
        <v>8</v>
      </c>
      <c r="C1269" t="str">
        <f t="shared" si="38"/>
        <v>A</v>
      </c>
      <c r="D1269" t="s">
        <v>13</v>
      </c>
      <c r="E1269" t="s">
        <v>16</v>
      </c>
      <c r="F1269" t="str">
        <f t="shared" si="39"/>
        <v>Mobile</v>
      </c>
      <c r="G1269">
        <v>9</v>
      </c>
      <c r="H1269">
        <v>0</v>
      </c>
      <c r="I1269">
        <v>0</v>
      </c>
    </row>
    <row r="1270" spans="1:9">
      <c r="A1270" t="s">
        <v>1288</v>
      </c>
      <c r="B1270" t="s">
        <v>15</v>
      </c>
      <c r="C1270" t="str">
        <f t="shared" si="38"/>
        <v>B</v>
      </c>
      <c r="D1270" t="s">
        <v>9</v>
      </c>
      <c r="E1270" t="s">
        <v>10</v>
      </c>
      <c r="F1270" t="str">
        <f t="shared" si="39"/>
        <v>Mobile</v>
      </c>
      <c r="G1270">
        <v>11</v>
      </c>
      <c r="H1270">
        <v>1</v>
      </c>
      <c r="I1270">
        <v>2702.33</v>
      </c>
    </row>
    <row r="1271" spans="1:9">
      <c r="A1271" t="s">
        <v>1289</v>
      </c>
      <c r="B1271" t="s">
        <v>15</v>
      </c>
      <c r="C1271" t="str">
        <f t="shared" si="38"/>
        <v>B</v>
      </c>
      <c r="D1271" t="s">
        <v>20</v>
      </c>
      <c r="E1271" t="s">
        <v>16</v>
      </c>
      <c r="F1271" t="str">
        <f t="shared" si="39"/>
        <v>Mobile</v>
      </c>
      <c r="G1271">
        <v>7</v>
      </c>
      <c r="H1271">
        <v>0</v>
      </c>
      <c r="I1271">
        <v>0</v>
      </c>
    </row>
    <row r="1272" spans="1:9">
      <c r="A1272" t="s">
        <v>1290</v>
      </c>
      <c r="B1272" t="s">
        <v>15</v>
      </c>
      <c r="C1272" t="str">
        <f t="shared" si="38"/>
        <v>B</v>
      </c>
      <c r="D1272" t="s">
        <v>20</v>
      </c>
      <c r="E1272" t="s">
        <v>23</v>
      </c>
      <c r="F1272" t="str">
        <f t="shared" si="39"/>
        <v>Desktop</v>
      </c>
      <c r="G1272">
        <v>9</v>
      </c>
      <c r="H1272">
        <v>0</v>
      </c>
      <c r="I1272">
        <v>0</v>
      </c>
    </row>
    <row r="1273" spans="1:9">
      <c r="A1273" t="s">
        <v>1291</v>
      </c>
      <c r="B1273" t="s">
        <v>15</v>
      </c>
      <c r="C1273" t="str">
        <f t="shared" si="38"/>
        <v>B</v>
      </c>
      <c r="D1273" t="s">
        <v>20</v>
      </c>
      <c r="E1273" t="s">
        <v>23</v>
      </c>
      <c r="F1273" t="str">
        <f t="shared" si="39"/>
        <v>Desktop</v>
      </c>
      <c r="G1273">
        <v>5</v>
      </c>
      <c r="H1273">
        <v>0</v>
      </c>
      <c r="I1273">
        <v>0</v>
      </c>
    </row>
    <row r="1274" spans="1:9">
      <c r="A1274" t="s">
        <v>1292</v>
      </c>
      <c r="B1274" t="s">
        <v>8</v>
      </c>
      <c r="C1274" t="str">
        <f t="shared" si="38"/>
        <v>A</v>
      </c>
      <c r="D1274" t="s">
        <v>9</v>
      </c>
      <c r="E1274" t="s">
        <v>23</v>
      </c>
      <c r="F1274" t="str">
        <f t="shared" si="39"/>
        <v>Desktop</v>
      </c>
      <c r="G1274">
        <v>7</v>
      </c>
      <c r="H1274">
        <v>0</v>
      </c>
      <c r="I1274">
        <v>0</v>
      </c>
    </row>
    <row r="1275" spans="1:9">
      <c r="A1275" t="s">
        <v>1293</v>
      </c>
      <c r="B1275" t="s">
        <v>8</v>
      </c>
      <c r="C1275" t="str">
        <f t="shared" si="38"/>
        <v>A</v>
      </c>
      <c r="D1275" t="s">
        <v>9</v>
      </c>
      <c r="E1275" t="s">
        <v>10</v>
      </c>
      <c r="F1275" t="str">
        <f t="shared" si="39"/>
        <v>Mobile</v>
      </c>
      <c r="G1275">
        <v>7</v>
      </c>
      <c r="H1275">
        <v>0</v>
      </c>
      <c r="I1275">
        <v>0</v>
      </c>
    </row>
    <row r="1276" spans="1:9">
      <c r="A1276" t="s">
        <v>1294</v>
      </c>
      <c r="B1276" t="s">
        <v>15</v>
      </c>
      <c r="C1276" t="str">
        <f t="shared" si="38"/>
        <v>B</v>
      </c>
      <c r="D1276" t="s">
        <v>20</v>
      </c>
      <c r="E1276" t="s">
        <v>23</v>
      </c>
      <c r="F1276" t="str">
        <f t="shared" si="39"/>
        <v>Desktop</v>
      </c>
      <c r="G1276">
        <v>4</v>
      </c>
      <c r="H1276">
        <v>0</v>
      </c>
      <c r="I1276">
        <v>0</v>
      </c>
    </row>
    <row r="1277" spans="1:9">
      <c r="A1277" t="s">
        <v>1295</v>
      </c>
      <c r="B1277" t="s">
        <v>8</v>
      </c>
      <c r="C1277" t="str">
        <f t="shared" si="38"/>
        <v>A</v>
      </c>
      <c r="D1277" t="s">
        <v>13</v>
      </c>
      <c r="E1277" t="s">
        <v>16</v>
      </c>
      <c r="F1277" t="str">
        <f t="shared" si="39"/>
        <v>Mobile</v>
      </c>
      <c r="G1277">
        <v>6</v>
      </c>
      <c r="H1277">
        <v>1</v>
      </c>
      <c r="I1277">
        <v>3206.6</v>
      </c>
    </row>
    <row r="1278" spans="1:9">
      <c r="A1278" t="s">
        <v>1296</v>
      </c>
      <c r="B1278" t="s">
        <v>8</v>
      </c>
      <c r="C1278" t="str">
        <f t="shared" si="38"/>
        <v>A</v>
      </c>
      <c r="D1278" t="s">
        <v>13</v>
      </c>
      <c r="E1278" t="s">
        <v>10</v>
      </c>
      <c r="F1278" t="str">
        <f t="shared" si="39"/>
        <v>Mobile</v>
      </c>
      <c r="G1278">
        <v>4</v>
      </c>
      <c r="H1278">
        <v>1</v>
      </c>
      <c r="I1278">
        <v>2164.61</v>
      </c>
    </row>
    <row r="1279" spans="1:9">
      <c r="A1279" t="s">
        <v>1297</v>
      </c>
      <c r="B1279" t="s">
        <v>8</v>
      </c>
      <c r="C1279" t="str">
        <f t="shared" si="38"/>
        <v>A</v>
      </c>
      <c r="D1279" t="s">
        <v>20</v>
      </c>
      <c r="E1279" t="s">
        <v>33</v>
      </c>
      <c r="F1279" t="str">
        <f t="shared" si="39"/>
        <v>Desktop</v>
      </c>
      <c r="G1279">
        <v>5</v>
      </c>
      <c r="H1279">
        <v>0</v>
      </c>
      <c r="I1279">
        <v>0</v>
      </c>
    </row>
    <row r="1280" spans="1:9">
      <c r="A1280" t="s">
        <v>1298</v>
      </c>
      <c r="B1280" t="s">
        <v>8</v>
      </c>
      <c r="C1280" t="str">
        <f t="shared" si="38"/>
        <v>A</v>
      </c>
      <c r="D1280" t="s">
        <v>18</v>
      </c>
      <c r="E1280" t="s">
        <v>10</v>
      </c>
      <c r="F1280" t="str">
        <f t="shared" si="39"/>
        <v>Mobile</v>
      </c>
      <c r="G1280">
        <v>6</v>
      </c>
      <c r="H1280">
        <v>0</v>
      </c>
      <c r="I1280">
        <v>0</v>
      </c>
    </row>
    <row r="1281" spans="1:9">
      <c r="A1281" t="s">
        <v>1299</v>
      </c>
      <c r="B1281" t="s">
        <v>8</v>
      </c>
      <c r="C1281" t="str">
        <f t="shared" si="38"/>
        <v>A</v>
      </c>
      <c r="D1281" t="s">
        <v>20</v>
      </c>
      <c r="E1281" t="s">
        <v>10</v>
      </c>
      <c r="F1281" t="str">
        <f t="shared" si="39"/>
        <v>Mobile</v>
      </c>
      <c r="G1281">
        <v>3</v>
      </c>
      <c r="H1281">
        <v>0</v>
      </c>
      <c r="I1281">
        <v>0</v>
      </c>
    </row>
    <row r="1282" spans="1:9">
      <c r="A1282" t="s">
        <v>1300</v>
      </c>
      <c r="B1282" t="s">
        <v>8</v>
      </c>
      <c r="C1282" t="str">
        <f t="shared" ref="C1282:C1345" si="40">IF(OR(B1282="control", B1282="A"), "A", "B")</f>
        <v>A</v>
      </c>
      <c r="D1282" t="s">
        <v>20</v>
      </c>
      <c r="E1282" t="s">
        <v>10</v>
      </c>
      <c r="F1282" t="str">
        <f t="shared" ref="F1282:F1345" si="41">PROPER(E1282)</f>
        <v>Mobile</v>
      </c>
      <c r="G1282">
        <v>5</v>
      </c>
      <c r="H1282">
        <v>0</v>
      </c>
      <c r="I1282">
        <v>0</v>
      </c>
    </row>
    <row r="1283" spans="1:9">
      <c r="A1283" t="s">
        <v>1301</v>
      </c>
      <c r="B1283" t="s">
        <v>15</v>
      </c>
      <c r="C1283" t="str">
        <f t="shared" si="40"/>
        <v>B</v>
      </c>
      <c r="D1283" t="s">
        <v>13</v>
      </c>
      <c r="E1283" t="s">
        <v>33</v>
      </c>
      <c r="F1283" t="str">
        <f t="shared" si="41"/>
        <v>Desktop</v>
      </c>
      <c r="G1283">
        <v>7</v>
      </c>
      <c r="H1283">
        <v>0</v>
      </c>
      <c r="I1283">
        <v>0</v>
      </c>
    </row>
    <row r="1284" spans="1:9">
      <c r="A1284" t="s">
        <v>1302</v>
      </c>
      <c r="B1284" t="s">
        <v>15</v>
      </c>
      <c r="C1284" t="str">
        <f t="shared" si="40"/>
        <v>B</v>
      </c>
      <c r="D1284" t="s">
        <v>13</v>
      </c>
      <c r="E1284" t="s">
        <v>10</v>
      </c>
      <c r="F1284" t="str">
        <f t="shared" si="41"/>
        <v>Mobile</v>
      </c>
      <c r="G1284">
        <v>9</v>
      </c>
      <c r="H1284">
        <v>1</v>
      </c>
      <c r="I1284">
        <v>2071.6999999999998</v>
      </c>
    </row>
    <row r="1285" spans="1:9">
      <c r="A1285" t="s">
        <v>1303</v>
      </c>
      <c r="B1285" t="s">
        <v>15</v>
      </c>
      <c r="C1285" t="str">
        <f t="shared" si="40"/>
        <v>B</v>
      </c>
      <c r="D1285" t="s">
        <v>20</v>
      </c>
      <c r="E1285" t="s">
        <v>16</v>
      </c>
      <c r="F1285" t="str">
        <f t="shared" si="41"/>
        <v>Mobile</v>
      </c>
      <c r="G1285">
        <v>7</v>
      </c>
      <c r="H1285">
        <v>0</v>
      </c>
      <c r="I1285">
        <v>0</v>
      </c>
    </row>
    <row r="1286" spans="1:9">
      <c r="A1286" t="s">
        <v>1304</v>
      </c>
      <c r="B1286" t="s">
        <v>8</v>
      </c>
      <c r="C1286" t="str">
        <f t="shared" si="40"/>
        <v>A</v>
      </c>
      <c r="D1286" t="s">
        <v>13</v>
      </c>
      <c r="E1286" t="s">
        <v>16</v>
      </c>
      <c r="F1286" t="str">
        <f t="shared" si="41"/>
        <v>Mobile</v>
      </c>
      <c r="G1286">
        <v>6</v>
      </c>
      <c r="H1286">
        <v>0</v>
      </c>
      <c r="I1286">
        <v>0</v>
      </c>
    </row>
    <row r="1287" spans="1:9">
      <c r="A1287" t="s">
        <v>1305</v>
      </c>
      <c r="B1287" t="s">
        <v>8</v>
      </c>
      <c r="C1287" t="str">
        <f t="shared" si="40"/>
        <v>A</v>
      </c>
      <c r="D1287" t="s">
        <v>13</v>
      </c>
      <c r="E1287" t="s">
        <v>10</v>
      </c>
      <c r="F1287" t="str">
        <f t="shared" si="41"/>
        <v>Mobile</v>
      </c>
      <c r="G1287">
        <v>6</v>
      </c>
      <c r="H1287">
        <v>0</v>
      </c>
      <c r="I1287">
        <v>0</v>
      </c>
    </row>
    <row r="1288" spans="1:9">
      <c r="A1288" t="s">
        <v>1306</v>
      </c>
      <c r="B1288" t="s">
        <v>8</v>
      </c>
      <c r="C1288" t="str">
        <f t="shared" si="40"/>
        <v>A</v>
      </c>
      <c r="D1288" t="s">
        <v>20</v>
      </c>
      <c r="E1288" t="s">
        <v>10</v>
      </c>
      <c r="F1288" t="str">
        <f t="shared" si="41"/>
        <v>Mobile</v>
      </c>
      <c r="G1288">
        <v>7</v>
      </c>
      <c r="H1288">
        <v>0</v>
      </c>
      <c r="I1288">
        <v>0</v>
      </c>
    </row>
    <row r="1289" spans="1:9">
      <c r="A1289" t="s">
        <v>1307</v>
      </c>
      <c r="B1289" t="s">
        <v>15</v>
      </c>
      <c r="C1289" t="str">
        <f t="shared" si="40"/>
        <v>B</v>
      </c>
      <c r="D1289" t="s">
        <v>20</v>
      </c>
      <c r="E1289" t="s">
        <v>23</v>
      </c>
      <c r="F1289" t="str">
        <f t="shared" si="41"/>
        <v>Desktop</v>
      </c>
      <c r="G1289">
        <v>3</v>
      </c>
      <c r="H1289">
        <v>0</v>
      </c>
      <c r="I1289">
        <v>0</v>
      </c>
    </row>
    <row r="1290" spans="1:9">
      <c r="A1290" t="s">
        <v>1308</v>
      </c>
      <c r="B1290" t="s">
        <v>15</v>
      </c>
      <c r="C1290" t="str">
        <f t="shared" si="40"/>
        <v>B</v>
      </c>
      <c r="D1290" t="s">
        <v>13</v>
      </c>
      <c r="E1290" t="s">
        <v>10</v>
      </c>
      <c r="F1290" t="str">
        <f t="shared" si="41"/>
        <v>Mobile</v>
      </c>
      <c r="G1290">
        <v>7</v>
      </c>
      <c r="H1290">
        <v>0</v>
      </c>
      <c r="I1290">
        <v>0</v>
      </c>
    </row>
    <row r="1291" spans="1:9">
      <c r="A1291" t="s">
        <v>1309</v>
      </c>
      <c r="B1291" t="s">
        <v>8</v>
      </c>
      <c r="C1291" t="str">
        <f t="shared" si="40"/>
        <v>A</v>
      </c>
      <c r="D1291" t="s">
        <v>20</v>
      </c>
      <c r="E1291" t="s">
        <v>23</v>
      </c>
      <c r="F1291" t="str">
        <f t="shared" si="41"/>
        <v>Desktop</v>
      </c>
      <c r="G1291">
        <v>10</v>
      </c>
      <c r="H1291">
        <v>1</v>
      </c>
      <c r="I1291">
        <v>954.93</v>
      </c>
    </row>
    <row r="1292" spans="1:9">
      <c r="A1292" t="s">
        <v>1310</v>
      </c>
      <c r="B1292" t="s">
        <v>12</v>
      </c>
      <c r="C1292" t="str">
        <f t="shared" si="40"/>
        <v>A</v>
      </c>
      <c r="D1292" t="s">
        <v>18</v>
      </c>
      <c r="E1292" t="s">
        <v>10</v>
      </c>
      <c r="F1292" t="str">
        <f t="shared" si="41"/>
        <v>Mobile</v>
      </c>
      <c r="G1292">
        <v>6</v>
      </c>
      <c r="H1292">
        <v>0</v>
      </c>
      <c r="I1292">
        <v>0</v>
      </c>
    </row>
    <row r="1293" spans="1:9">
      <c r="A1293" t="s">
        <v>1311</v>
      </c>
      <c r="B1293" t="s">
        <v>8</v>
      </c>
      <c r="C1293" t="str">
        <f t="shared" si="40"/>
        <v>A</v>
      </c>
      <c r="D1293" t="s">
        <v>9</v>
      </c>
      <c r="E1293" t="s">
        <v>10</v>
      </c>
      <c r="F1293" t="str">
        <f t="shared" si="41"/>
        <v>Mobile</v>
      </c>
      <c r="G1293">
        <v>8</v>
      </c>
      <c r="H1293">
        <v>0</v>
      </c>
      <c r="I1293">
        <v>0</v>
      </c>
    </row>
    <row r="1294" spans="1:9">
      <c r="A1294" t="s">
        <v>1312</v>
      </c>
      <c r="B1294" t="s">
        <v>15</v>
      </c>
      <c r="C1294" t="str">
        <f t="shared" si="40"/>
        <v>B</v>
      </c>
      <c r="D1294" t="s">
        <v>18</v>
      </c>
      <c r="E1294" t="s">
        <v>23</v>
      </c>
      <c r="F1294" t="str">
        <f t="shared" si="41"/>
        <v>Desktop</v>
      </c>
      <c r="G1294">
        <v>5</v>
      </c>
      <c r="H1294">
        <v>0</v>
      </c>
      <c r="I1294">
        <v>0</v>
      </c>
    </row>
    <row r="1295" spans="1:9">
      <c r="A1295" t="s">
        <v>1313</v>
      </c>
      <c r="B1295" t="s">
        <v>15</v>
      </c>
      <c r="C1295" t="str">
        <f t="shared" si="40"/>
        <v>B</v>
      </c>
      <c r="D1295" t="s">
        <v>20</v>
      </c>
      <c r="E1295" t="s">
        <v>10</v>
      </c>
      <c r="F1295" t="str">
        <f t="shared" si="41"/>
        <v>Mobile</v>
      </c>
      <c r="G1295">
        <v>5</v>
      </c>
      <c r="H1295">
        <v>0</v>
      </c>
      <c r="I1295">
        <v>0</v>
      </c>
    </row>
    <row r="1296" spans="1:9">
      <c r="A1296" t="s">
        <v>1314</v>
      </c>
      <c r="B1296" t="s">
        <v>15</v>
      </c>
      <c r="C1296" t="str">
        <f t="shared" si="40"/>
        <v>B</v>
      </c>
      <c r="D1296" t="s">
        <v>18</v>
      </c>
      <c r="E1296" t="s">
        <v>10</v>
      </c>
      <c r="F1296" t="str">
        <f t="shared" si="41"/>
        <v>Mobile</v>
      </c>
      <c r="G1296">
        <v>9</v>
      </c>
      <c r="H1296">
        <v>0</v>
      </c>
      <c r="I1296">
        <v>0</v>
      </c>
    </row>
    <row r="1297" spans="1:9">
      <c r="A1297" t="s">
        <v>1315</v>
      </c>
      <c r="B1297" t="s">
        <v>15</v>
      </c>
      <c r="C1297" t="str">
        <f t="shared" si="40"/>
        <v>B</v>
      </c>
      <c r="D1297" t="s">
        <v>13</v>
      </c>
      <c r="E1297" t="s">
        <v>10</v>
      </c>
      <c r="F1297" t="str">
        <f t="shared" si="41"/>
        <v>Mobile</v>
      </c>
      <c r="G1297">
        <v>3</v>
      </c>
      <c r="H1297">
        <v>0</v>
      </c>
      <c r="I1297">
        <v>0</v>
      </c>
    </row>
    <row r="1298" spans="1:9">
      <c r="A1298" t="s">
        <v>1316</v>
      </c>
      <c r="B1298" t="s">
        <v>15</v>
      </c>
      <c r="C1298" t="str">
        <f t="shared" si="40"/>
        <v>B</v>
      </c>
      <c r="D1298" t="s">
        <v>20</v>
      </c>
      <c r="E1298" t="s">
        <v>10</v>
      </c>
      <c r="F1298" t="str">
        <f t="shared" si="41"/>
        <v>Mobile</v>
      </c>
      <c r="G1298">
        <v>4</v>
      </c>
      <c r="H1298">
        <v>0</v>
      </c>
      <c r="I1298">
        <v>0</v>
      </c>
    </row>
    <row r="1299" spans="1:9">
      <c r="A1299" t="s">
        <v>1317</v>
      </c>
      <c r="B1299" t="s">
        <v>8</v>
      </c>
      <c r="C1299" t="str">
        <f t="shared" si="40"/>
        <v>A</v>
      </c>
      <c r="D1299" t="s">
        <v>20</v>
      </c>
      <c r="E1299" t="s">
        <v>23</v>
      </c>
      <c r="F1299" t="str">
        <f t="shared" si="41"/>
        <v>Desktop</v>
      </c>
      <c r="G1299">
        <v>11</v>
      </c>
      <c r="H1299">
        <v>0</v>
      </c>
      <c r="I1299">
        <v>0</v>
      </c>
    </row>
    <row r="1300" spans="1:9">
      <c r="A1300" t="s">
        <v>1318</v>
      </c>
      <c r="B1300" t="s">
        <v>15</v>
      </c>
      <c r="C1300" t="str">
        <f t="shared" si="40"/>
        <v>B</v>
      </c>
      <c r="D1300" t="s">
        <v>20</v>
      </c>
      <c r="E1300" t="s">
        <v>23</v>
      </c>
      <c r="F1300" t="str">
        <f t="shared" si="41"/>
        <v>Desktop</v>
      </c>
      <c r="G1300">
        <v>6</v>
      </c>
      <c r="H1300">
        <v>1</v>
      </c>
      <c r="I1300">
        <v>1840.17</v>
      </c>
    </row>
    <row r="1301" spans="1:9">
      <c r="A1301" t="s">
        <v>1319</v>
      </c>
      <c r="B1301" t="s">
        <v>8</v>
      </c>
      <c r="C1301" t="str">
        <f t="shared" si="40"/>
        <v>A</v>
      </c>
      <c r="D1301" t="s">
        <v>13</v>
      </c>
      <c r="E1301" t="s">
        <v>10</v>
      </c>
      <c r="F1301" t="str">
        <f t="shared" si="41"/>
        <v>Mobile</v>
      </c>
      <c r="G1301">
        <v>10</v>
      </c>
      <c r="H1301">
        <v>0</v>
      </c>
      <c r="I1301">
        <v>0</v>
      </c>
    </row>
    <row r="1302" spans="1:9">
      <c r="A1302" t="s">
        <v>1320</v>
      </c>
      <c r="B1302" t="s">
        <v>15</v>
      </c>
      <c r="C1302" t="str">
        <f t="shared" si="40"/>
        <v>B</v>
      </c>
      <c r="D1302" t="s">
        <v>13</v>
      </c>
      <c r="E1302" t="s">
        <v>23</v>
      </c>
      <c r="F1302" t="str">
        <f t="shared" si="41"/>
        <v>Desktop</v>
      </c>
      <c r="G1302">
        <v>2</v>
      </c>
      <c r="H1302">
        <v>0</v>
      </c>
      <c r="I1302">
        <v>0</v>
      </c>
    </row>
    <row r="1303" spans="1:9">
      <c r="A1303" t="s">
        <v>1321</v>
      </c>
      <c r="B1303" t="s">
        <v>15</v>
      </c>
      <c r="C1303" t="str">
        <f t="shared" si="40"/>
        <v>B</v>
      </c>
      <c r="D1303" t="s">
        <v>20</v>
      </c>
      <c r="E1303" t="s">
        <v>23</v>
      </c>
      <c r="F1303" t="str">
        <f t="shared" si="41"/>
        <v>Desktop</v>
      </c>
      <c r="G1303">
        <v>5</v>
      </c>
      <c r="H1303">
        <v>0</v>
      </c>
      <c r="I1303">
        <v>0</v>
      </c>
    </row>
    <row r="1304" spans="1:9">
      <c r="A1304" t="s">
        <v>1322</v>
      </c>
      <c r="B1304" t="s">
        <v>15</v>
      </c>
      <c r="C1304" t="str">
        <f t="shared" si="40"/>
        <v>B</v>
      </c>
      <c r="D1304" t="s">
        <v>13</v>
      </c>
      <c r="E1304" t="s">
        <v>10</v>
      </c>
      <c r="F1304" t="str">
        <f t="shared" si="41"/>
        <v>Mobile</v>
      </c>
      <c r="G1304">
        <v>3</v>
      </c>
      <c r="H1304">
        <v>0</v>
      </c>
      <c r="I1304">
        <v>0</v>
      </c>
    </row>
    <row r="1305" spans="1:9">
      <c r="A1305" t="s">
        <v>1323</v>
      </c>
      <c r="B1305" t="s">
        <v>8</v>
      </c>
      <c r="C1305" t="str">
        <f t="shared" si="40"/>
        <v>A</v>
      </c>
      <c r="D1305" t="s">
        <v>20</v>
      </c>
      <c r="E1305" t="s">
        <v>10</v>
      </c>
      <c r="F1305" t="str">
        <f t="shared" si="41"/>
        <v>Mobile</v>
      </c>
      <c r="G1305">
        <v>8</v>
      </c>
      <c r="H1305">
        <v>0</v>
      </c>
      <c r="I1305">
        <v>0</v>
      </c>
    </row>
    <row r="1306" spans="1:9">
      <c r="A1306" t="s">
        <v>1324</v>
      </c>
      <c r="B1306" t="s">
        <v>15</v>
      </c>
      <c r="C1306" t="str">
        <f t="shared" si="40"/>
        <v>B</v>
      </c>
      <c r="D1306" t="s">
        <v>13</v>
      </c>
      <c r="E1306" t="s">
        <v>33</v>
      </c>
      <c r="F1306" t="str">
        <f t="shared" si="41"/>
        <v>Desktop</v>
      </c>
      <c r="G1306">
        <v>7</v>
      </c>
      <c r="H1306">
        <v>0</v>
      </c>
      <c r="I1306">
        <v>0</v>
      </c>
    </row>
    <row r="1307" spans="1:9">
      <c r="A1307" t="s">
        <v>1325</v>
      </c>
      <c r="B1307" t="s">
        <v>15</v>
      </c>
      <c r="C1307" t="str">
        <f t="shared" si="40"/>
        <v>B</v>
      </c>
      <c r="D1307" t="s">
        <v>20</v>
      </c>
      <c r="E1307" t="s">
        <v>23</v>
      </c>
      <c r="F1307" t="str">
        <f t="shared" si="41"/>
        <v>Desktop</v>
      </c>
      <c r="G1307">
        <v>6</v>
      </c>
      <c r="H1307">
        <v>0</v>
      </c>
      <c r="I1307">
        <v>0</v>
      </c>
    </row>
    <row r="1308" spans="1:9">
      <c r="A1308" t="s">
        <v>1326</v>
      </c>
      <c r="B1308" t="s">
        <v>15</v>
      </c>
      <c r="C1308" t="str">
        <f t="shared" si="40"/>
        <v>B</v>
      </c>
      <c r="D1308" t="s">
        <v>9</v>
      </c>
      <c r="E1308" t="s">
        <v>23</v>
      </c>
      <c r="F1308" t="str">
        <f t="shared" si="41"/>
        <v>Desktop</v>
      </c>
      <c r="G1308">
        <v>7</v>
      </c>
      <c r="H1308">
        <v>0</v>
      </c>
      <c r="I1308">
        <v>0</v>
      </c>
    </row>
    <row r="1309" spans="1:9">
      <c r="A1309" t="s">
        <v>1327</v>
      </c>
      <c r="B1309" t="s">
        <v>8</v>
      </c>
      <c r="C1309" t="str">
        <f t="shared" si="40"/>
        <v>A</v>
      </c>
      <c r="D1309" t="s">
        <v>9</v>
      </c>
      <c r="E1309" t="s">
        <v>23</v>
      </c>
      <c r="F1309" t="str">
        <f t="shared" si="41"/>
        <v>Desktop</v>
      </c>
      <c r="G1309">
        <v>7</v>
      </c>
      <c r="H1309">
        <v>0</v>
      </c>
      <c r="I1309">
        <v>0</v>
      </c>
    </row>
    <row r="1310" spans="1:9">
      <c r="A1310" t="s">
        <v>1328</v>
      </c>
      <c r="B1310" t="s">
        <v>8</v>
      </c>
      <c r="C1310" t="str">
        <f t="shared" si="40"/>
        <v>A</v>
      </c>
      <c r="D1310" t="s">
        <v>13</v>
      </c>
      <c r="E1310" t="s">
        <v>10</v>
      </c>
      <c r="F1310" t="str">
        <f t="shared" si="41"/>
        <v>Mobile</v>
      </c>
      <c r="G1310">
        <v>7</v>
      </c>
      <c r="H1310">
        <v>0</v>
      </c>
      <c r="I1310">
        <v>0</v>
      </c>
    </row>
    <row r="1311" spans="1:9">
      <c r="A1311" t="s">
        <v>1329</v>
      </c>
      <c r="B1311" t="s">
        <v>8</v>
      </c>
      <c r="C1311" t="str">
        <f t="shared" si="40"/>
        <v>A</v>
      </c>
      <c r="D1311" t="s">
        <v>20</v>
      </c>
      <c r="E1311" t="s">
        <v>23</v>
      </c>
      <c r="F1311" t="str">
        <f t="shared" si="41"/>
        <v>Desktop</v>
      </c>
      <c r="G1311">
        <v>8</v>
      </c>
      <c r="H1311">
        <v>0</v>
      </c>
      <c r="I1311">
        <v>0</v>
      </c>
    </row>
    <row r="1312" spans="1:9">
      <c r="A1312" t="s">
        <v>1330</v>
      </c>
      <c r="B1312" t="s">
        <v>8</v>
      </c>
      <c r="C1312" t="str">
        <f t="shared" si="40"/>
        <v>A</v>
      </c>
      <c r="D1312" t="s">
        <v>20</v>
      </c>
      <c r="E1312" t="s">
        <v>10</v>
      </c>
      <c r="F1312" t="str">
        <f t="shared" si="41"/>
        <v>Mobile</v>
      </c>
      <c r="G1312">
        <v>7</v>
      </c>
      <c r="H1312">
        <v>0</v>
      </c>
      <c r="I1312">
        <v>0</v>
      </c>
    </row>
    <row r="1313" spans="1:9">
      <c r="A1313" t="s">
        <v>1331</v>
      </c>
      <c r="B1313" t="s">
        <v>15</v>
      </c>
      <c r="C1313" t="str">
        <f t="shared" si="40"/>
        <v>B</v>
      </c>
      <c r="D1313" t="s">
        <v>9</v>
      </c>
      <c r="E1313" t="s">
        <v>23</v>
      </c>
      <c r="F1313" t="str">
        <f t="shared" si="41"/>
        <v>Desktop</v>
      </c>
      <c r="G1313">
        <v>4</v>
      </c>
      <c r="H1313">
        <v>0</v>
      </c>
      <c r="I1313">
        <v>0</v>
      </c>
    </row>
    <row r="1314" spans="1:9">
      <c r="A1314" t="s">
        <v>1332</v>
      </c>
      <c r="B1314" t="s">
        <v>8</v>
      </c>
      <c r="C1314" t="str">
        <f t="shared" si="40"/>
        <v>A</v>
      </c>
      <c r="D1314" t="s">
        <v>20</v>
      </c>
      <c r="E1314" t="s">
        <v>10</v>
      </c>
      <c r="F1314" t="str">
        <f t="shared" si="41"/>
        <v>Mobile</v>
      </c>
      <c r="G1314">
        <v>12</v>
      </c>
      <c r="H1314">
        <v>0</v>
      </c>
      <c r="I1314">
        <v>0</v>
      </c>
    </row>
    <row r="1315" spans="1:9">
      <c r="A1315" t="s">
        <v>1333</v>
      </c>
      <c r="B1315" t="s">
        <v>29</v>
      </c>
      <c r="C1315" t="str">
        <f t="shared" si="40"/>
        <v>B</v>
      </c>
      <c r="D1315" t="s">
        <v>20</v>
      </c>
      <c r="E1315" t="s">
        <v>10</v>
      </c>
      <c r="F1315" t="str">
        <f t="shared" si="41"/>
        <v>Mobile</v>
      </c>
      <c r="G1315">
        <v>7</v>
      </c>
      <c r="H1315">
        <v>1</v>
      </c>
      <c r="I1315">
        <v>1297.8900000000001</v>
      </c>
    </row>
    <row r="1316" spans="1:9">
      <c r="A1316" t="s">
        <v>1334</v>
      </c>
      <c r="B1316" t="s">
        <v>8</v>
      </c>
      <c r="C1316" t="str">
        <f t="shared" si="40"/>
        <v>A</v>
      </c>
      <c r="D1316" t="s">
        <v>20</v>
      </c>
      <c r="E1316" t="s">
        <v>10</v>
      </c>
      <c r="F1316" t="str">
        <f t="shared" si="41"/>
        <v>Mobile</v>
      </c>
      <c r="G1316">
        <v>7</v>
      </c>
      <c r="H1316">
        <v>0</v>
      </c>
      <c r="I1316">
        <v>0</v>
      </c>
    </row>
    <row r="1317" spans="1:9">
      <c r="A1317" t="s">
        <v>1335</v>
      </c>
      <c r="B1317" t="s">
        <v>8</v>
      </c>
      <c r="C1317" t="str">
        <f t="shared" si="40"/>
        <v>A</v>
      </c>
      <c r="D1317" t="s">
        <v>13</v>
      </c>
      <c r="E1317" t="s">
        <v>33</v>
      </c>
      <c r="F1317" t="str">
        <f t="shared" si="41"/>
        <v>Desktop</v>
      </c>
      <c r="G1317">
        <v>6</v>
      </c>
      <c r="H1317">
        <v>0</v>
      </c>
      <c r="I1317">
        <v>0</v>
      </c>
    </row>
    <row r="1318" spans="1:9">
      <c r="A1318" t="s">
        <v>1336</v>
      </c>
      <c r="B1318" t="s">
        <v>15</v>
      </c>
      <c r="C1318" t="str">
        <f t="shared" si="40"/>
        <v>B</v>
      </c>
      <c r="D1318" t="s">
        <v>13</v>
      </c>
      <c r="E1318" t="s">
        <v>10</v>
      </c>
      <c r="F1318" t="str">
        <f t="shared" si="41"/>
        <v>Mobile</v>
      </c>
      <c r="G1318">
        <v>12</v>
      </c>
      <c r="H1318">
        <v>0</v>
      </c>
      <c r="I1318">
        <v>0</v>
      </c>
    </row>
    <row r="1319" spans="1:9">
      <c r="A1319" t="s">
        <v>1337</v>
      </c>
      <c r="B1319" t="s">
        <v>15</v>
      </c>
      <c r="C1319" t="str">
        <f t="shared" si="40"/>
        <v>B</v>
      </c>
      <c r="D1319" t="s">
        <v>9</v>
      </c>
      <c r="E1319" t="s">
        <v>10</v>
      </c>
      <c r="F1319" t="str">
        <f t="shared" si="41"/>
        <v>Mobile</v>
      </c>
      <c r="G1319">
        <v>5</v>
      </c>
      <c r="H1319">
        <v>0</v>
      </c>
      <c r="I1319">
        <v>0</v>
      </c>
    </row>
    <row r="1320" spans="1:9">
      <c r="A1320" t="s">
        <v>1338</v>
      </c>
      <c r="B1320" t="s">
        <v>15</v>
      </c>
      <c r="C1320" t="str">
        <f t="shared" si="40"/>
        <v>B</v>
      </c>
      <c r="D1320" t="s">
        <v>20</v>
      </c>
      <c r="E1320" t="s">
        <v>10</v>
      </c>
      <c r="F1320" t="str">
        <f t="shared" si="41"/>
        <v>Mobile</v>
      </c>
      <c r="G1320">
        <v>8</v>
      </c>
      <c r="H1320">
        <v>0</v>
      </c>
      <c r="I1320">
        <v>0</v>
      </c>
    </row>
    <row r="1321" spans="1:9">
      <c r="A1321" t="s">
        <v>1339</v>
      </c>
      <c r="B1321" t="s">
        <v>15</v>
      </c>
      <c r="C1321" t="str">
        <f t="shared" si="40"/>
        <v>B</v>
      </c>
      <c r="D1321" t="s">
        <v>20</v>
      </c>
      <c r="E1321" t="s">
        <v>10</v>
      </c>
      <c r="F1321" t="str">
        <f t="shared" si="41"/>
        <v>Mobile</v>
      </c>
      <c r="G1321">
        <v>2</v>
      </c>
      <c r="H1321">
        <v>0</v>
      </c>
      <c r="I1321">
        <v>0</v>
      </c>
    </row>
    <row r="1322" spans="1:9">
      <c r="A1322" t="s">
        <v>1340</v>
      </c>
      <c r="B1322" t="s">
        <v>15</v>
      </c>
      <c r="C1322" t="str">
        <f t="shared" si="40"/>
        <v>B</v>
      </c>
      <c r="D1322" t="s">
        <v>9</v>
      </c>
      <c r="E1322" t="s">
        <v>23</v>
      </c>
      <c r="F1322" t="str">
        <f t="shared" si="41"/>
        <v>Desktop</v>
      </c>
      <c r="G1322">
        <v>12</v>
      </c>
      <c r="H1322">
        <v>0</v>
      </c>
      <c r="I1322">
        <v>0</v>
      </c>
    </row>
    <row r="1323" spans="1:9">
      <c r="A1323" t="s">
        <v>1341</v>
      </c>
      <c r="B1323" t="s">
        <v>8</v>
      </c>
      <c r="C1323" t="str">
        <f t="shared" si="40"/>
        <v>A</v>
      </c>
      <c r="D1323" t="s">
        <v>9</v>
      </c>
      <c r="E1323" t="s">
        <v>23</v>
      </c>
      <c r="F1323" t="str">
        <f t="shared" si="41"/>
        <v>Desktop</v>
      </c>
      <c r="G1323">
        <v>3</v>
      </c>
      <c r="H1323">
        <v>1</v>
      </c>
      <c r="I1323">
        <v>5942.51</v>
      </c>
    </row>
    <row r="1324" spans="1:9">
      <c r="A1324" t="s">
        <v>1342</v>
      </c>
      <c r="B1324" t="s">
        <v>29</v>
      </c>
      <c r="C1324" t="str">
        <f t="shared" si="40"/>
        <v>B</v>
      </c>
      <c r="D1324" t="s">
        <v>20</v>
      </c>
      <c r="E1324" t="s">
        <v>10</v>
      </c>
      <c r="F1324" t="str">
        <f t="shared" si="41"/>
        <v>Mobile</v>
      </c>
      <c r="G1324">
        <v>4</v>
      </c>
      <c r="H1324">
        <v>0</v>
      </c>
      <c r="I1324">
        <v>0</v>
      </c>
    </row>
    <row r="1325" spans="1:9">
      <c r="A1325" t="s">
        <v>1343</v>
      </c>
      <c r="B1325" t="s">
        <v>29</v>
      </c>
      <c r="C1325" t="str">
        <f t="shared" si="40"/>
        <v>B</v>
      </c>
      <c r="D1325" t="s">
        <v>13</v>
      </c>
      <c r="E1325" t="s">
        <v>10</v>
      </c>
      <c r="F1325" t="str">
        <f t="shared" si="41"/>
        <v>Mobile</v>
      </c>
      <c r="G1325">
        <v>4</v>
      </c>
      <c r="H1325">
        <v>0</v>
      </c>
      <c r="I1325">
        <v>0</v>
      </c>
    </row>
    <row r="1326" spans="1:9">
      <c r="A1326" t="s">
        <v>1344</v>
      </c>
      <c r="B1326" t="s">
        <v>15</v>
      </c>
      <c r="C1326" t="str">
        <f t="shared" si="40"/>
        <v>B</v>
      </c>
      <c r="D1326" t="s">
        <v>20</v>
      </c>
      <c r="E1326" t="s">
        <v>23</v>
      </c>
      <c r="F1326" t="str">
        <f t="shared" si="41"/>
        <v>Desktop</v>
      </c>
      <c r="G1326">
        <v>2</v>
      </c>
      <c r="H1326">
        <v>0</v>
      </c>
      <c r="I1326">
        <v>0</v>
      </c>
    </row>
    <row r="1327" spans="1:9">
      <c r="A1327" t="s">
        <v>1345</v>
      </c>
      <c r="B1327" t="s">
        <v>8</v>
      </c>
      <c r="C1327" t="str">
        <f t="shared" si="40"/>
        <v>A</v>
      </c>
      <c r="D1327" t="s">
        <v>18</v>
      </c>
      <c r="E1327" t="s">
        <v>10</v>
      </c>
      <c r="F1327" t="str">
        <f t="shared" si="41"/>
        <v>Mobile</v>
      </c>
      <c r="G1327">
        <v>6</v>
      </c>
      <c r="H1327">
        <v>0</v>
      </c>
      <c r="I1327">
        <v>0</v>
      </c>
    </row>
    <row r="1328" spans="1:9">
      <c r="A1328" t="s">
        <v>1346</v>
      </c>
      <c r="B1328" t="s">
        <v>15</v>
      </c>
      <c r="C1328" t="str">
        <f t="shared" si="40"/>
        <v>B</v>
      </c>
      <c r="D1328" t="s">
        <v>20</v>
      </c>
      <c r="E1328" t="s">
        <v>10</v>
      </c>
      <c r="F1328" t="str">
        <f t="shared" si="41"/>
        <v>Mobile</v>
      </c>
      <c r="G1328">
        <v>10</v>
      </c>
      <c r="H1328">
        <v>1</v>
      </c>
      <c r="I1328">
        <v>1113.51</v>
      </c>
    </row>
    <row r="1329" spans="1:9">
      <c r="A1329" t="s">
        <v>1347</v>
      </c>
      <c r="B1329" t="s">
        <v>8</v>
      </c>
      <c r="C1329" t="str">
        <f t="shared" si="40"/>
        <v>A</v>
      </c>
      <c r="D1329" t="s">
        <v>18</v>
      </c>
      <c r="E1329" t="s">
        <v>10</v>
      </c>
      <c r="F1329" t="str">
        <f t="shared" si="41"/>
        <v>Mobile</v>
      </c>
      <c r="G1329">
        <v>4</v>
      </c>
      <c r="H1329">
        <v>0</v>
      </c>
      <c r="I1329">
        <v>0</v>
      </c>
    </row>
    <row r="1330" spans="1:9">
      <c r="A1330" t="s">
        <v>1348</v>
      </c>
      <c r="B1330" t="s">
        <v>8</v>
      </c>
      <c r="C1330" t="str">
        <f t="shared" si="40"/>
        <v>A</v>
      </c>
      <c r="D1330" t="s">
        <v>13</v>
      </c>
      <c r="E1330" t="s">
        <v>10</v>
      </c>
      <c r="F1330" t="str">
        <f t="shared" si="41"/>
        <v>Mobile</v>
      </c>
      <c r="G1330">
        <v>8</v>
      </c>
      <c r="H1330">
        <v>0</v>
      </c>
      <c r="I1330">
        <v>0</v>
      </c>
    </row>
    <row r="1331" spans="1:9">
      <c r="A1331" t="s">
        <v>1349</v>
      </c>
      <c r="B1331" t="s">
        <v>8</v>
      </c>
      <c r="C1331" t="str">
        <f t="shared" si="40"/>
        <v>A</v>
      </c>
      <c r="D1331" t="s">
        <v>13</v>
      </c>
      <c r="E1331" t="s">
        <v>10</v>
      </c>
      <c r="F1331" t="str">
        <f t="shared" si="41"/>
        <v>Mobile</v>
      </c>
      <c r="G1331">
        <v>6</v>
      </c>
      <c r="H1331">
        <v>0</v>
      </c>
      <c r="I1331">
        <v>0</v>
      </c>
    </row>
    <row r="1332" spans="1:9">
      <c r="A1332" t="s">
        <v>1350</v>
      </c>
      <c r="B1332" t="s">
        <v>15</v>
      </c>
      <c r="C1332" t="str">
        <f t="shared" si="40"/>
        <v>B</v>
      </c>
      <c r="D1332" t="s">
        <v>20</v>
      </c>
      <c r="E1332" t="s">
        <v>23</v>
      </c>
      <c r="F1332" t="str">
        <f t="shared" si="41"/>
        <v>Desktop</v>
      </c>
      <c r="G1332">
        <v>4</v>
      </c>
      <c r="H1332">
        <v>0</v>
      </c>
      <c r="I1332">
        <v>0</v>
      </c>
    </row>
    <row r="1333" spans="1:9">
      <c r="A1333" t="s">
        <v>1351</v>
      </c>
      <c r="B1333" t="s">
        <v>15</v>
      </c>
      <c r="C1333" t="str">
        <f t="shared" si="40"/>
        <v>B</v>
      </c>
      <c r="D1333" t="s">
        <v>13</v>
      </c>
      <c r="E1333" t="s">
        <v>23</v>
      </c>
      <c r="F1333" t="str">
        <f t="shared" si="41"/>
        <v>Desktop</v>
      </c>
      <c r="G1333">
        <v>6</v>
      </c>
      <c r="H1333">
        <v>0</v>
      </c>
      <c r="I1333">
        <v>0</v>
      </c>
    </row>
    <row r="1334" spans="1:9">
      <c r="A1334" t="s">
        <v>1352</v>
      </c>
      <c r="B1334" t="s">
        <v>15</v>
      </c>
      <c r="C1334" t="str">
        <f t="shared" si="40"/>
        <v>B</v>
      </c>
      <c r="D1334" t="s">
        <v>20</v>
      </c>
      <c r="E1334" t="s">
        <v>16</v>
      </c>
      <c r="F1334" t="str">
        <f t="shared" si="41"/>
        <v>Mobile</v>
      </c>
      <c r="G1334">
        <v>9</v>
      </c>
      <c r="H1334">
        <v>0</v>
      </c>
      <c r="I1334">
        <v>0</v>
      </c>
    </row>
    <row r="1335" spans="1:9">
      <c r="A1335" t="s">
        <v>1353</v>
      </c>
      <c r="B1335" t="s">
        <v>15</v>
      </c>
      <c r="C1335" t="str">
        <f t="shared" si="40"/>
        <v>B</v>
      </c>
      <c r="D1335" t="s">
        <v>20</v>
      </c>
      <c r="E1335" t="s">
        <v>10</v>
      </c>
      <c r="F1335" t="str">
        <f t="shared" si="41"/>
        <v>Mobile</v>
      </c>
      <c r="G1335">
        <v>2</v>
      </c>
      <c r="H1335">
        <v>0</v>
      </c>
      <c r="I1335">
        <v>0</v>
      </c>
    </row>
    <row r="1336" spans="1:9">
      <c r="A1336" t="s">
        <v>1354</v>
      </c>
      <c r="B1336" t="s">
        <v>8</v>
      </c>
      <c r="C1336" t="str">
        <f t="shared" si="40"/>
        <v>A</v>
      </c>
      <c r="D1336" t="s">
        <v>13</v>
      </c>
      <c r="E1336" t="s">
        <v>10</v>
      </c>
      <c r="F1336" t="str">
        <f t="shared" si="41"/>
        <v>Mobile</v>
      </c>
      <c r="G1336">
        <v>7</v>
      </c>
      <c r="H1336">
        <v>0</v>
      </c>
      <c r="I1336">
        <v>0</v>
      </c>
    </row>
    <row r="1337" spans="1:9">
      <c r="A1337" t="s">
        <v>1355</v>
      </c>
      <c r="B1337" t="s">
        <v>8</v>
      </c>
      <c r="C1337" t="str">
        <f t="shared" si="40"/>
        <v>A</v>
      </c>
      <c r="D1337" t="s">
        <v>18</v>
      </c>
      <c r="E1337" t="s">
        <v>10</v>
      </c>
      <c r="F1337" t="str">
        <f t="shared" si="41"/>
        <v>Mobile</v>
      </c>
      <c r="G1337">
        <v>6</v>
      </c>
      <c r="H1337">
        <v>0</v>
      </c>
      <c r="I1337">
        <v>0</v>
      </c>
    </row>
    <row r="1338" spans="1:9">
      <c r="A1338" t="s">
        <v>1356</v>
      </c>
      <c r="B1338" t="s">
        <v>8</v>
      </c>
      <c r="C1338" t="str">
        <f t="shared" si="40"/>
        <v>A</v>
      </c>
      <c r="D1338" t="s">
        <v>13</v>
      </c>
      <c r="E1338" t="s">
        <v>83</v>
      </c>
      <c r="F1338" t="str">
        <f t="shared" si="41"/>
        <v>Tablet</v>
      </c>
      <c r="G1338">
        <v>6</v>
      </c>
      <c r="H1338">
        <v>0</v>
      </c>
      <c r="I1338">
        <v>0</v>
      </c>
    </row>
    <row r="1339" spans="1:9">
      <c r="A1339" t="s">
        <v>1357</v>
      </c>
      <c r="B1339" t="s">
        <v>29</v>
      </c>
      <c r="C1339" t="str">
        <f t="shared" si="40"/>
        <v>B</v>
      </c>
      <c r="D1339" t="s">
        <v>13</v>
      </c>
      <c r="E1339" t="s">
        <v>23</v>
      </c>
      <c r="F1339" t="str">
        <f t="shared" si="41"/>
        <v>Desktop</v>
      </c>
      <c r="G1339">
        <v>9</v>
      </c>
      <c r="H1339">
        <v>0</v>
      </c>
      <c r="I1339">
        <v>0</v>
      </c>
    </row>
    <row r="1340" spans="1:9">
      <c r="A1340" t="s">
        <v>1358</v>
      </c>
      <c r="B1340" t="s">
        <v>8</v>
      </c>
      <c r="C1340" t="str">
        <f t="shared" si="40"/>
        <v>A</v>
      </c>
      <c r="D1340" t="s">
        <v>20</v>
      </c>
      <c r="E1340" t="s">
        <v>23</v>
      </c>
      <c r="F1340" t="str">
        <f t="shared" si="41"/>
        <v>Desktop</v>
      </c>
      <c r="G1340">
        <v>4</v>
      </c>
      <c r="H1340">
        <v>0</v>
      </c>
      <c r="I1340">
        <v>0</v>
      </c>
    </row>
    <row r="1341" spans="1:9">
      <c r="A1341" t="s">
        <v>1359</v>
      </c>
      <c r="B1341" t="s">
        <v>15</v>
      </c>
      <c r="C1341" t="str">
        <f t="shared" si="40"/>
        <v>B</v>
      </c>
      <c r="D1341" t="s">
        <v>20</v>
      </c>
      <c r="E1341" t="s">
        <v>10</v>
      </c>
      <c r="F1341" t="str">
        <f t="shared" si="41"/>
        <v>Mobile</v>
      </c>
      <c r="G1341">
        <v>3</v>
      </c>
      <c r="H1341">
        <v>0</v>
      </c>
      <c r="I1341">
        <v>0</v>
      </c>
    </row>
    <row r="1342" spans="1:9">
      <c r="A1342" t="s">
        <v>1360</v>
      </c>
      <c r="B1342" t="s">
        <v>15</v>
      </c>
      <c r="C1342" t="str">
        <f t="shared" si="40"/>
        <v>B</v>
      </c>
      <c r="D1342" t="s">
        <v>20</v>
      </c>
      <c r="E1342" t="s">
        <v>10</v>
      </c>
      <c r="F1342" t="str">
        <f t="shared" si="41"/>
        <v>Mobile</v>
      </c>
      <c r="G1342">
        <v>5</v>
      </c>
      <c r="H1342">
        <v>0</v>
      </c>
      <c r="I1342">
        <v>0</v>
      </c>
    </row>
    <row r="1343" spans="1:9">
      <c r="A1343" t="s">
        <v>1361</v>
      </c>
      <c r="B1343" t="s">
        <v>8</v>
      </c>
      <c r="C1343" t="str">
        <f t="shared" si="40"/>
        <v>A</v>
      </c>
      <c r="D1343" t="s">
        <v>13</v>
      </c>
      <c r="E1343" t="s">
        <v>10</v>
      </c>
      <c r="F1343" t="str">
        <f t="shared" si="41"/>
        <v>Mobile</v>
      </c>
      <c r="G1343">
        <v>4</v>
      </c>
      <c r="H1343">
        <v>0</v>
      </c>
      <c r="I1343">
        <v>0</v>
      </c>
    </row>
    <row r="1344" spans="1:9">
      <c r="A1344" t="s">
        <v>1362</v>
      </c>
      <c r="B1344" t="s">
        <v>15</v>
      </c>
      <c r="C1344" t="str">
        <f t="shared" si="40"/>
        <v>B</v>
      </c>
      <c r="D1344" t="s">
        <v>18</v>
      </c>
      <c r="E1344" t="s">
        <v>23</v>
      </c>
      <c r="F1344" t="str">
        <f t="shared" si="41"/>
        <v>Desktop</v>
      </c>
      <c r="G1344">
        <v>6</v>
      </c>
      <c r="H1344">
        <v>0</v>
      </c>
      <c r="I1344">
        <v>0</v>
      </c>
    </row>
    <row r="1345" spans="1:9">
      <c r="A1345" t="s">
        <v>1363</v>
      </c>
      <c r="B1345" t="s">
        <v>15</v>
      </c>
      <c r="C1345" t="str">
        <f t="shared" si="40"/>
        <v>B</v>
      </c>
      <c r="D1345" t="s">
        <v>13</v>
      </c>
      <c r="E1345" t="s">
        <v>33</v>
      </c>
      <c r="F1345" t="str">
        <f t="shared" si="41"/>
        <v>Desktop</v>
      </c>
      <c r="G1345">
        <v>11</v>
      </c>
      <c r="H1345">
        <v>0</v>
      </c>
      <c r="I1345">
        <v>0</v>
      </c>
    </row>
    <row r="1346" spans="1:9">
      <c r="A1346" t="s">
        <v>1364</v>
      </c>
      <c r="B1346" t="s">
        <v>15</v>
      </c>
      <c r="C1346" t="str">
        <f t="shared" ref="C1346:C1409" si="42">IF(OR(B1346="control", B1346="A"), "A", "B")</f>
        <v>B</v>
      </c>
      <c r="D1346" t="s">
        <v>20</v>
      </c>
      <c r="E1346" t="s">
        <v>33</v>
      </c>
      <c r="F1346" t="str">
        <f t="shared" ref="F1346:F1409" si="43">PROPER(E1346)</f>
        <v>Desktop</v>
      </c>
      <c r="G1346">
        <v>10</v>
      </c>
      <c r="H1346">
        <v>0</v>
      </c>
      <c r="I1346">
        <v>0</v>
      </c>
    </row>
    <row r="1347" spans="1:9">
      <c r="A1347" t="s">
        <v>1365</v>
      </c>
      <c r="B1347" t="s">
        <v>15</v>
      </c>
      <c r="C1347" t="str">
        <f t="shared" si="42"/>
        <v>B</v>
      </c>
      <c r="D1347" t="s">
        <v>20</v>
      </c>
      <c r="E1347" t="s">
        <v>23</v>
      </c>
      <c r="F1347" t="str">
        <f t="shared" si="43"/>
        <v>Desktop</v>
      </c>
      <c r="G1347">
        <v>8</v>
      </c>
      <c r="H1347">
        <v>1</v>
      </c>
      <c r="I1347">
        <v>843.42</v>
      </c>
    </row>
    <row r="1348" spans="1:9">
      <c r="A1348" t="s">
        <v>1366</v>
      </c>
      <c r="B1348" t="s">
        <v>8</v>
      </c>
      <c r="C1348" t="str">
        <f t="shared" si="42"/>
        <v>A</v>
      </c>
      <c r="D1348" t="s">
        <v>13</v>
      </c>
      <c r="E1348" t="s">
        <v>10</v>
      </c>
      <c r="F1348" t="str">
        <f t="shared" si="43"/>
        <v>Mobile</v>
      </c>
      <c r="G1348">
        <v>1</v>
      </c>
      <c r="H1348">
        <v>0</v>
      </c>
      <c r="I1348">
        <v>0</v>
      </c>
    </row>
    <row r="1349" spans="1:9">
      <c r="A1349" t="s">
        <v>1367</v>
      </c>
      <c r="B1349" t="s">
        <v>8</v>
      </c>
      <c r="C1349" t="str">
        <f t="shared" si="42"/>
        <v>A</v>
      </c>
      <c r="D1349" t="s">
        <v>20</v>
      </c>
      <c r="E1349" t="s">
        <v>33</v>
      </c>
      <c r="F1349" t="str">
        <f t="shared" si="43"/>
        <v>Desktop</v>
      </c>
      <c r="G1349">
        <v>5</v>
      </c>
      <c r="H1349">
        <v>0</v>
      </c>
      <c r="I1349">
        <v>0</v>
      </c>
    </row>
    <row r="1350" spans="1:9">
      <c r="A1350" t="s">
        <v>1368</v>
      </c>
      <c r="B1350" t="s">
        <v>15</v>
      </c>
      <c r="C1350" t="str">
        <f t="shared" si="42"/>
        <v>B</v>
      </c>
      <c r="D1350" t="s">
        <v>9</v>
      </c>
      <c r="E1350" t="s">
        <v>23</v>
      </c>
      <c r="F1350" t="str">
        <f t="shared" si="43"/>
        <v>Desktop</v>
      </c>
      <c r="G1350">
        <v>5</v>
      </c>
      <c r="H1350">
        <v>1</v>
      </c>
      <c r="I1350">
        <v>5192.59</v>
      </c>
    </row>
    <row r="1351" spans="1:9">
      <c r="A1351" t="s">
        <v>1369</v>
      </c>
      <c r="B1351" t="s">
        <v>15</v>
      </c>
      <c r="C1351" t="str">
        <f t="shared" si="42"/>
        <v>B</v>
      </c>
      <c r="D1351" t="s">
        <v>9</v>
      </c>
      <c r="E1351" t="s">
        <v>10</v>
      </c>
      <c r="F1351" t="str">
        <f t="shared" si="43"/>
        <v>Mobile</v>
      </c>
      <c r="G1351">
        <v>11</v>
      </c>
      <c r="H1351">
        <v>1</v>
      </c>
      <c r="I1351">
        <v>5251.35</v>
      </c>
    </row>
    <row r="1352" spans="1:9">
      <c r="A1352" t="s">
        <v>1370</v>
      </c>
      <c r="B1352" t="s">
        <v>8</v>
      </c>
      <c r="C1352" t="str">
        <f t="shared" si="42"/>
        <v>A</v>
      </c>
      <c r="D1352" t="s">
        <v>13</v>
      </c>
      <c r="E1352" t="s">
        <v>10</v>
      </c>
      <c r="F1352" t="str">
        <f t="shared" si="43"/>
        <v>Mobile</v>
      </c>
      <c r="G1352">
        <v>7</v>
      </c>
      <c r="H1352">
        <v>1</v>
      </c>
      <c r="I1352">
        <v>2363.3000000000002</v>
      </c>
    </row>
    <row r="1353" spans="1:9">
      <c r="A1353" t="s">
        <v>1371</v>
      </c>
      <c r="B1353" t="s">
        <v>15</v>
      </c>
      <c r="C1353" t="str">
        <f t="shared" si="42"/>
        <v>B</v>
      </c>
      <c r="D1353" t="s">
        <v>20</v>
      </c>
      <c r="E1353" t="s">
        <v>10</v>
      </c>
      <c r="F1353" t="str">
        <f t="shared" si="43"/>
        <v>Mobile</v>
      </c>
      <c r="G1353">
        <v>5</v>
      </c>
      <c r="H1353">
        <v>0</v>
      </c>
      <c r="I1353">
        <v>0</v>
      </c>
    </row>
    <row r="1354" spans="1:9">
      <c r="A1354" t="s">
        <v>1372</v>
      </c>
      <c r="B1354" t="s">
        <v>15</v>
      </c>
      <c r="C1354" t="str">
        <f t="shared" si="42"/>
        <v>B</v>
      </c>
      <c r="D1354" t="s">
        <v>20</v>
      </c>
      <c r="E1354" t="s">
        <v>10</v>
      </c>
      <c r="F1354" t="str">
        <f t="shared" si="43"/>
        <v>Mobile</v>
      </c>
      <c r="G1354">
        <v>9</v>
      </c>
      <c r="H1354">
        <v>0</v>
      </c>
      <c r="I1354">
        <v>0</v>
      </c>
    </row>
    <row r="1355" spans="1:9">
      <c r="A1355" t="s">
        <v>1373</v>
      </c>
      <c r="B1355" t="s">
        <v>15</v>
      </c>
      <c r="C1355" t="str">
        <f t="shared" si="42"/>
        <v>B</v>
      </c>
      <c r="D1355" t="s">
        <v>20</v>
      </c>
      <c r="E1355" t="s">
        <v>10</v>
      </c>
      <c r="F1355" t="str">
        <f t="shared" si="43"/>
        <v>Mobile</v>
      </c>
      <c r="G1355">
        <v>6</v>
      </c>
      <c r="H1355">
        <v>0</v>
      </c>
      <c r="I1355">
        <v>0</v>
      </c>
    </row>
    <row r="1356" spans="1:9">
      <c r="A1356" t="s">
        <v>1374</v>
      </c>
      <c r="B1356" t="s">
        <v>8</v>
      </c>
      <c r="C1356" t="str">
        <f t="shared" si="42"/>
        <v>A</v>
      </c>
      <c r="D1356" t="s">
        <v>20</v>
      </c>
      <c r="E1356" t="s">
        <v>23</v>
      </c>
      <c r="F1356" t="str">
        <f t="shared" si="43"/>
        <v>Desktop</v>
      </c>
      <c r="G1356">
        <v>5</v>
      </c>
      <c r="H1356">
        <v>0</v>
      </c>
      <c r="I1356">
        <v>0</v>
      </c>
    </row>
    <row r="1357" spans="1:9">
      <c r="A1357" t="s">
        <v>1375</v>
      </c>
      <c r="B1357" t="s">
        <v>15</v>
      </c>
      <c r="C1357" t="str">
        <f t="shared" si="42"/>
        <v>B</v>
      </c>
      <c r="D1357" t="s">
        <v>20</v>
      </c>
      <c r="E1357" t="s">
        <v>10</v>
      </c>
      <c r="F1357" t="str">
        <f t="shared" si="43"/>
        <v>Mobile</v>
      </c>
      <c r="G1357">
        <v>5</v>
      </c>
      <c r="H1357">
        <v>0</v>
      </c>
      <c r="I1357">
        <v>0</v>
      </c>
    </row>
    <row r="1358" spans="1:9">
      <c r="A1358" t="s">
        <v>1376</v>
      </c>
      <c r="B1358" t="s">
        <v>15</v>
      </c>
      <c r="C1358" t="str">
        <f t="shared" si="42"/>
        <v>B</v>
      </c>
      <c r="D1358" t="s">
        <v>13</v>
      </c>
      <c r="E1358" t="s">
        <v>10</v>
      </c>
      <c r="F1358" t="str">
        <f t="shared" si="43"/>
        <v>Mobile</v>
      </c>
      <c r="G1358">
        <v>2</v>
      </c>
      <c r="H1358">
        <v>0</v>
      </c>
      <c r="I1358">
        <v>0</v>
      </c>
    </row>
    <row r="1359" spans="1:9">
      <c r="A1359" t="s">
        <v>1377</v>
      </c>
      <c r="B1359" t="s">
        <v>8</v>
      </c>
      <c r="C1359" t="str">
        <f t="shared" si="42"/>
        <v>A</v>
      </c>
      <c r="D1359" t="s">
        <v>13</v>
      </c>
      <c r="E1359" t="s">
        <v>10</v>
      </c>
      <c r="F1359" t="str">
        <f t="shared" si="43"/>
        <v>Mobile</v>
      </c>
      <c r="G1359">
        <v>7</v>
      </c>
      <c r="H1359">
        <v>0</v>
      </c>
      <c r="I1359">
        <v>0</v>
      </c>
    </row>
    <row r="1360" spans="1:9">
      <c r="A1360" t="s">
        <v>1378</v>
      </c>
      <c r="B1360" t="s">
        <v>8</v>
      </c>
      <c r="C1360" t="str">
        <f t="shared" si="42"/>
        <v>A</v>
      </c>
      <c r="D1360" t="s">
        <v>20</v>
      </c>
      <c r="E1360" t="s">
        <v>16</v>
      </c>
      <c r="F1360" t="str">
        <f t="shared" si="43"/>
        <v>Mobile</v>
      </c>
      <c r="G1360">
        <v>11</v>
      </c>
      <c r="H1360">
        <v>0</v>
      </c>
      <c r="I1360">
        <v>0</v>
      </c>
    </row>
    <row r="1361" spans="1:9">
      <c r="A1361" t="s">
        <v>1379</v>
      </c>
      <c r="B1361" t="s">
        <v>29</v>
      </c>
      <c r="C1361" t="str">
        <f t="shared" si="42"/>
        <v>B</v>
      </c>
      <c r="D1361" t="s">
        <v>20</v>
      </c>
      <c r="E1361" t="s">
        <v>23</v>
      </c>
      <c r="F1361" t="str">
        <f t="shared" si="43"/>
        <v>Desktop</v>
      </c>
      <c r="G1361">
        <v>6</v>
      </c>
      <c r="H1361">
        <v>0</v>
      </c>
      <c r="I1361">
        <v>0</v>
      </c>
    </row>
    <row r="1362" spans="1:9">
      <c r="A1362" t="s">
        <v>1380</v>
      </c>
      <c r="B1362" t="s">
        <v>8</v>
      </c>
      <c r="C1362" t="str">
        <f t="shared" si="42"/>
        <v>A</v>
      </c>
      <c r="D1362" t="s">
        <v>20</v>
      </c>
      <c r="E1362" t="s">
        <v>10</v>
      </c>
      <c r="F1362" t="str">
        <f t="shared" si="43"/>
        <v>Mobile</v>
      </c>
      <c r="G1362">
        <v>9</v>
      </c>
      <c r="H1362">
        <v>0</v>
      </c>
      <c r="I1362">
        <v>0</v>
      </c>
    </row>
    <row r="1363" spans="1:9">
      <c r="A1363" t="s">
        <v>1381</v>
      </c>
      <c r="B1363" t="s">
        <v>15</v>
      </c>
      <c r="C1363" t="str">
        <f t="shared" si="42"/>
        <v>B</v>
      </c>
      <c r="D1363" t="s">
        <v>20</v>
      </c>
      <c r="E1363" t="s">
        <v>33</v>
      </c>
      <c r="F1363" t="str">
        <f t="shared" si="43"/>
        <v>Desktop</v>
      </c>
      <c r="G1363">
        <v>6</v>
      </c>
      <c r="H1363">
        <v>0</v>
      </c>
      <c r="I1363">
        <v>0</v>
      </c>
    </row>
    <row r="1364" spans="1:9">
      <c r="A1364" t="s">
        <v>1382</v>
      </c>
      <c r="B1364" t="s">
        <v>15</v>
      </c>
      <c r="C1364" t="str">
        <f t="shared" si="42"/>
        <v>B</v>
      </c>
      <c r="D1364" t="s">
        <v>9</v>
      </c>
      <c r="E1364" t="s">
        <v>33</v>
      </c>
      <c r="F1364" t="str">
        <f t="shared" si="43"/>
        <v>Desktop</v>
      </c>
      <c r="G1364">
        <v>11</v>
      </c>
      <c r="H1364">
        <v>0</v>
      </c>
      <c r="I1364">
        <v>0</v>
      </c>
    </row>
    <row r="1365" spans="1:9">
      <c r="A1365" t="s">
        <v>1383</v>
      </c>
      <c r="B1365" t="s">
        <v>8</v>
      </c>
      <c r="C1365" t="str">
        <f t="shared" si="42"/>
        <v>A</v>
      </c>
      <c r="D1365" t="s">
        <v>20</v>
      </c>
      <c r="E1365" t="s">
        <v>10</v>
      </c>
      <c r="F1365" t="str">
        <f t="shared" si="43"/>
        <v>Mobile</v>
      </c>
      <c r="G1365">
        <v>5</v>
      </c>
      <c r="H1365">
        <v>0</v>
      </c>
      <c r="I1365">
        <v>0</v>
      </c>
    </row>
    <row r="1366" spans="1:9">
      <c r="A1366" t="s">
        <v>1384</v>
      </c>
      <c r="B1366" t="s">
        <v>15</v>
      </c>
      <c r="C1366" t="str">
        <f t="shared" si="42"/>
        <v>B</v>
      </c>
      <c r="D1366" t="s">
        <v>20</v>
      </c>
      <c r="E1366" t="s">
        <v>10</v>
      </c>
      <c r="F1366" t="str">
        <f t="shared" si="43"/>
        <v>Mobile</v>
      </c>
      <c r="G1366">
        <v>5</v>
      </c>
      <c r="H1366">
        <v>0</v>
      </c>
      <c r="I1366">
        <v>0</v>
      </c>
    </row>
    <row r="1367" spans="1:9">
      <c r="A1367" t="s">
        <v>1385</v>
      </c>
      <c r="B1367" t="s">
        <v>8</v>
      </c>
      <c r="C1367" t="str">
        <f t="shared" si="42"/>
        <v>A</v>
      </c>
      <c r="D1367" t="s">
        <v>20</v>
      </c>
      <c r="E1367" t="s">
        <v>23</v>
      </c>
      <c r="F1367" t="str">
        <f t="shared" si="43"/>
        <v>Desktop</v>
      </c>
      <c r="G1367">
        <v>7</v>
      </c>
      <c r="H1367">
        <v>1</v>
      </c>
      <c r="I1367">
        <v>1010.84</v>
      </c>
    </row>
    <row r="1368" spans="1:9">
      <c r="A1368" t="s">
        <v>1386</v>
      </c>
      <c r="B1368" t="s">
        <v>15</v>
      </c>
      <c r="C1368" t="str">
        <f t="shared" si="42"/>
        <v>B</v>
      </c>
      <c r="D1368" t="s">
        <v>9</v>
      </c>
      <c r="E1368" t="s">
        <v>16</v>
      </c>
      <c r="F1368" t="str">
        <f t="shared" si="43"/>
        <v>Mobile</v>
      </c>
      <c r="G1368">
        <v>15</v>
      </c>
      <c r="H1368">
        <v>0</v>
      </c>
      <c r="I1368">
        <v>0</v>
      </c>
    </row>
    <row r="1369" spans="1:9">
      <c r="A1369" t="s">
        <v>1387</v>
      </c>
      <c r="B1369" t="s">
        <v>8</v>
      </c>
      <c r="C1369" t="str">
        <f t="shared" si="42"/>
        <v>A</v>
      </c>
      <c r="D1369" t="s">
        <v>13</v>
      </c>
      <c r="E1369" t="s">
        <v>33</v>
      </c>
      <c r="F1369" t="str">
        <f t="shared" si="43"/>
        <v>Desktop</v>
      </c>
      <c r="G1369">
        <v>7</v>
      </c>
      <c r="H1369">
        <v>0</v>
      </c>
      <c r="I1369">
        <v>0</v>
      </c>
    </row>
    <row r="1370" spans="1:9">
      <c r="A1370" t="s">
        <v>1388</v>
      </c>
      <c r="B1370" t="s">
        <v>15</v>
      </c>
      <c r="C1370" t="str">
        <f t="shared" si="42"/>
        <v>B</v>
      </c>
      <c r="D1370" t="s">
        <v>20</v>
      </c>
      <c r="E1370" t="s">
        <v>16</v>
      </c>
      <c r="F1370" t="str">
        <f t="shared" si="43"/>
        <v>Mobile</v>
      </c>
      <c r="G1370">
        <v>14</v>
      </c>
      <c r="H1370">
        <v>0</v>
      </c>
      <c r="I1370">
        <v>0</v>
      </c>
    </row>
    <row r="1371" spans="1:9">
      <c r="A1371" t="s">
        <v>1389</v>
      </c>
      <c r="B1371" t="s">
        <v>8</v>
      </c>
      <c r="C1371" t="str">
        <f t="shared" si="42"/>
        <v>A</v>
      </c>
      <c r="D1371" t="s">
        <v>13</v>
      </c>
      <c r="E1371" t="s">
        <v>23</v>
      </c>
      <c r="F1371" t="str">
        <f t="shared" si="43"/>
        <v>Desktop</v>
      </c>
      <c r="G1371">
        <v>1</v>
      </c>
      <c r="H1371">
        <v>0</v>
      </c>
      <c r="I1371">
        <v>0</v>
      </c>
    </row>
    <row r="1372" spans="1:9">
      <c r="A1372" t="s">
        <v>1390</v>
      </c>
      <c r="B1372" t="s">
        <v>8</v>
      </c>
      <c r="C1372" t="str">
        <f t="shared" si="42"/>
        <v>A</v>
      </c>
      <c r="D1372" t="s">
        <v>13</v>
      </c>
      <c r="E1372" t="s">
        <v>23</v>
      </c>
      <c r="F1372" t="str">
        <f t="shared" si="43"/>
        <v>Desktop</v>
      </c>
      <c r="G1372">
        <v>1</v>
      </c>
      <c r="H1372">
        <v>0</v>
      </c>
      <c r="I1372">
        <v>0</v>
      </c>
    </row>
    <row r="1373" spans="1:9">
      <c r="A1373" t="s">
        <v>1391</v>
      </c>
      <c r="B1373" t="s">
        <v>29</v>
      </c>
      <c r="C1373" t="str">
        <f t="shared" si="42"/>
        <v>B</v>
      </c>
      <c r="D1373" t="s">
        <v>18</v>
      </c>
      <c r="E1373" t="s">
        <v>10</v>
      </c>
      <c r="F1373" t="str">
        <f t="shared" si="43"/>
        <v>Mobile</v>
      </c>
      <c r="G1373">
        <v>9</v>
      </c>
      <c r="H1373">
        <v>1</v>
      </c>
      <c r="I1373">
        <v>1777.62</v>
      </c>
    </row>
    <row r="1374" spans="1:9">
      <c r="A1374" t="s">
        <v>1392</v>
      </c>
      <c r="B1374" t="s">
        <v>8</v>
      </c>
      <c r="C1374" t="str">
        <f t="shared" si="42"/>
        <v>A</v>
      </c>
      <c r="D1374" t="s">
        <v>20</v>
      </c>
      <c r="E1374" t="s">
        <v>10</v>
      </c>
      <c r="F1374" t="str">
        <f t="shared" si="43"/>
        <v>Mobile</v>
      </c>
      <c r="G1374">
        <v>3</v>
      </c>
      <c r="H1374">
        <v>0</v>
      </c>
      <c r="I1374">
        <v>0</v>
      </c>
    </row>
    <row r="1375" spans="1:9">
      <c r="A1375" t="s">
        <v>1393</v>
      </c>
      <c r="B1375" t="s">
        <v>15</v>
      </c>
      <c r="C1375" t="str">
        <f t="shared" si="42"/>
        <v>B</v>
      </c>
      <c r="D1375" t="s">
        <v>9</v>
      </c>
      <c r="E1375" t="s">
        <v>10</v>
      </c>
      <c r="F1375" t="str">
        <f t="shared" si="43"/>
        <v>Mobile</v>
      </c>
      <c r="G1375">
        <v>5</v>
      </c>
      <c r="H1375">
        <v>0</v>
      </c>
      <c r="I1375">
        <v>0</v>
      </c>
    </row>
    <row r="1376" spans="1:9">
      <c r="A1376" t="s">
        <v>1394</v>
      </c>
      <c r="B1376" t="s">
        <v>8</v>
      </c>
      <c r="C1376" t="str">
        <f t="shared" si="42"/>
        <v>A</v>
      </c>
      <c r="D1376" t="s">
        <v>18</v>
      </c>
      <c r="E1376" t="s">
        <v>23</v>
      </c>
      <c r="F1376" t="str">
        <f t="shared" si="43"/>
        <v>Desktop</v>
      </c>
      <c r="G1376">
        <v>3</v>
      </c>
      <c r="H1376">
        <v>0</v>
      </c>
      <c r="I1376">
        <v>0</v>
      </c>
    </row>
    <row r="1377" spans="1:9">
      <c r="A1377" t="s">
        <v>1395</v>
      </c>
      <c r="B1377" t="s">
        <v>15</v>
      </c>
      <c r="C1377" t="str">
        <f t="shared" si="42"/>
        <v>B</v>
      </c>
      <c r="D1377" t="s">
        <v>9</v>
      </c>
      <c r="E1377" t="s">
        <v>23</v>
      </c>
      <c r="F1377" t="str">
        <f t="shared" si="43"/>
        <v>Desktop</v>
      </c>
      <c r="G1377">
        <v>7</v>
      </c>
      <c r="H1377">
        <v>1</v>
      </c>
      <c r="I1377">
        <v>5731.95</v>
      </c>
    </row>
    <row r="1378" spans="1:9">
      <c r="A1378" t="s">
        <v>1396</v>
      </c>
      <c r="B1378" t="s">
        <v>8</v>
      </c>
      <c r="C1378" t="str">
        <f t="shared" si="42"/>
        <v>A</v>
      </c>
      <c r="D1378" t="s">
        <v>13</v>
      </c>
      <c r="E1378" t="s">
        <v>23</v>
      </c>
      <c r="F1378" t="str">
        <f t="shared" si="43"/>
        <v>Desktop</v>
      </c>
      <c r="G1378">
        <v>6</v>
      </c>
      <c r="H1378">
        <v>0</v>
      </c>
      <c r="I1378">
        <v>0</v>
      </c>
    </row>
    <row r="1379" spans="1:9">
      <c r="A1379" t="s">
        <v>1397</v>
      </c>
      <c r="B1379" t="s">
        <v>29</v>
      </c>
      <c r="C1379" t="str">
        <f t="shared" si="42"/>
        <v>B</v>
      </c>
      <c r="D1379" t="s">
        <v>13</v>
      </c>
      <c r="E1379" t="s">
        <v>10</v>
      </c>
      <c r="F1379" t="str">
        <f t="shared" si="43"/>
        <v>Mobile</v>
      </c>
      <c r="G1379">
        <v>6</v>
      </c>
      <c r="H1379">
        <v>0</v>
      </c>
      <c r="I1379">
        <v>0</v>
      </c>
    </row>
    <row r="1380" spans="1:9">
      <c r="A1380" t="s">
        <v>1398</v>
      </c>
      <c r="B1380" t="s">
        <v>8</v>
      </c>
      <c r="C1380" t="str">
        <f t="shared" si="42"/>
        <v>A</v>
      </c>
      <c r="D1380" t="s">
        <v>20</v>
      </c>
      <c r="E1380" t="s">
        <v>23</v>
      </c>
      <c r="F1380" t="str">
        <f t="shared" si="43"/>
        <v>Desktop</v>
      </c>
      <c r="G1380">
        <v>8</v>
      </c>
      <c r="H1380">
        <v>0</v>
      </c>
      <c r="I1380">
        <v>0</v>
      </c>
    </row>
    <row r="1381" spans="1:9">
      <c r="A1381" t="s">
        <v>1399</v>
      </c>
      <c r="B1381" t="s">
        <v>8</v>
      </c>
      <c r="C1381" t="str">
        <f t="shared" si="42"/>
        <v>A</v>
      </c>
      <c r="D1381" t="s">
        <v>13</v>
      </c>
      <c r="E1381" t="s">
        <v>10</v>
      </c>
      <c r="F1381" t="str">
        <f t="shared" si="43"/>
        <v>Mobile</v>
      </c>
      <c r="G1381">
        <v>10</v>
      </c>
      <c r="H1381">
        <v>1</v>
      </c>
      <c r="I1381">
        <v>2273.9</v>
      </c>
    </row>
    <row r="1382" spans="1:9">
      <c r="A1382" t="s">
        <v>1400</v>
      </c>
      <c r="B1382" t="s">
        <v>8</v>
      </c>
      <c r="C1382" t="str">
        <f t="shared" si="42"/>
        <v>A</v>
      </c>
      <c r="D1382" t="s">
        <v>13</v>
      </c>
      <c r="E1382" t="s">
        <v>10</v>
      </c>
      <c r="F1382" t="str">
        <f t="shared" si="43"/>
        <v>Mobile</v>
      </c>
      <c r="G1382">
        <v>5</v>
      </c>
      <c r="H1382">
        <v>0</v>
      </c>
      <c r="I1382">
        <v>0</v>
      </c>
    </row>
    <row r="1383" spans="1:9">
      <c r="A1383" t="s">
        <v>1401</v>
      </c>
      <c r="B1383" t="s">
        <v>8</v>
      </c>
      <c r="C1383" t="str">
        <f t="shared" si="42"/>
        <v>A</v>
      </c>
      <c r="D1383" t="s">
        <v>13</v>
      </c>
      <c r="E1383" t="s">
        <v>23</v>
      </c>
      <c r="F1383" t="str">
        <f t="shared" si="43"/>
        <v>Desktop</v>
      </c>
      <c r="G1383">
        <v>9</v>
      </c>
      <c r="H1383">
        <v>0</v>
      </c>
      <c r="I1383">
        <v>0</v>
      </c>
    </row>
    <row r="1384" spans="1:9">
      <c r="A1384" t="s">
        <v>1402</v>
      </c>
      <c r="B1384" t="s">
        <v>15</v>
      </c>
      <c r="C1384" t="str">
        <f t="shared" si="42"/>
        <v>B</v>
      </c>
      <c r="D1384" t="s">
        <v>13</v>
      </c>
      <c r="E1384" t="s">
        <v>23</v>
      </c>
      <c r="F1384" t="str">
        <f t="shared" si="43"/>
        <v>Desktop</v>
      </c>
      <c r="G1384">
        <v>9</v>
      </c>
      <c r="H1384">
        <v>0</v>
      </c>
      <c r="I1384">
        <v>0</v>
      </c>
    </row>
    <row r="1385" spans="1:9">
      <c r="A1385" t="s">
        <v>1403</v>
      </c>
      <c r="B1385" t="s">
        <v>8</v>
      </c>
      <c r="C1385" t="str">
        <f t="shared" si="42"/>
        <v>A</v>
      </c>
      <c r="D1385" t="s">
        <v>13</v>
      </c>
      <c r="E1385" t="s">
        <v>83</v>
      </c>
      <c r="F1385" t="str">
        <f t="shared" si="43"/>
        <v>Tablet</v>
      </c>
      <c r="G1385">
        <v>7</v>
      </c>
      <c r="H1385">
        <v>0</v>
      </c>
      <c r="I1385">
        <v>0</v>
      </c>
    </row>
    <row r="1386" spans="1:9">
      <c r="A1386" t="s">
        <v>1404</v>
      </c>
      <c r="B1386" t="s">
        <v>15</v>
      </c>
      <c r="C1386" t="str">
        <f t="shared" si="42"/>
        <v>B</v>
      </c>
      <c r="D1386" t="s">
        <v>9</v>
      </c>
      <c r="E1386" t="s">
        <v>10</v>
      </c>
      <c r="F1386" t="str">
        <f t="shared" si="43"/>
        <v>Mobile</v>
      </c>
      <c r="G1386">
        <v>5</v>
      </c>
      <c r="H1386">
        <v>0</v>
      </c>
      <c r="I1386">
        <v>0</v>
      </c>
    </row>
    <row r="1387" spans="1:9">
      <c r="A1387" t="s">
        <v>1405</v>
      </c>
      <c r="B1387" t="s">
        <v>8</v>
      </c>
      <c r="C1387" t="str">
        <f t="shared" si="42"/>
        <v>A</v>
      </c>
      <c r="D1387" t="s">
        <v>20</v>
      </c>
      <c r="E1387" t="s">
        <v>10</v>
      </c>
      <c r="F1387" t="str">
        <f t="shared" si="43"/>
        <v>Mobile</v>
      </c>
      <c r="G1387">
        <v>7</v>
      </c>
      <c r="H1387">
        <v>0</v>
      </c>
      <c r="I1387">
        <v>0</v>
      </c>
    </row>
    <row r="1388" spans="1:9">
      <c r="A1388" t="s">
        <v>1406</v>
      </c>
      <c r="B1388" t="s">
        <v>8</v>
      </c>
      <c r="C1388" t="str">
        <f t="shared" si="42"/>
        <v>A</v>
      </c>
      <c r="D1388" t="s">
        <v>9</v>
      </c>
      <c r="E1388" t="s">
        <v>10</v>
      </c>
      <c r="F1388" t="str">
        <f t="shared" si="43"/>
        <v>Mobile</v>
      </c>
      <c r="G1388">
        <v>11</v>
      </c>
      <c r="H1388">
        <v>0</v>
      </c>
      <c r="I1388">
        <v>0</v>
      </c>
    </row>
    <row r="1389" spans="1:9">
      <c r="A1389" t="s">
        <v>1407</v>
      </c>
      <c r="B1389" t="s">
        <v>15</v>
      </c>
      <c r="C1389" t="str">
        <f t="shared" si="42"/>
        <v>B</v>
      </c>
      <c r="D1389" t="s">
        <v>13</v>
      </c>
      <c r="E1389" t="s">
        <v>10</v>
      </c>
      <c r="F1389" t="str">
        <f t="shared" si="43"/>
        <v>Mobile</v>
      </c>
      <c r="G1389">
        <v>4</v>
      </c>
      <c r="H1389">
        <v>0</v>
      </c>
      <c r="I1389">
        <v>0</v>
      </c>
    </row>
    <row r="1390" spans="1:9">
      <c r="A1390" t="s">
        <v>1408</v>
      </c>
      <c r="B1390" t="s">
        <v>15</v>
      </c>
      <c r="C1390" t="str">
        <f t="shared" si="42"/>
        <v>B</v>
      </c>
      <c r="D1390" t="s">
        <v>9</v>
      </c>
      <c r="E1390" t="s">
        <v>16</v>
      </c>
      <c r="F1390" t="str">
        <f t="shared" si="43"/>
        <v>Mobile</v>
      </c>
      <c r="G1390">
        <v>2</v>
      </c>
      <c r="H1390">
        <v>0</v>
      </c>
      <c r="I1390">
        <v>0</v>
      </c>
    </row>
    <row r="1391" spans="1:9">
      <c r="A1391" t="s">
        <v>1409</v>
      </c>
      <c r="B1391" t="s">
        <v>8</v>
      </c>
      <c r="C1391" t="str">
        <f t="shared" si="42"/>
        <v>A</v>
      </c>
      <c r="D1391" t="s">
        <v>13</v>
      </c>
      <c r="E1391" t="s">
        <v>23</v>
      </c>
      <c r="F1391" t="str">
        <f t="shared" si="43"/>
        <v>Desktop</v>
      </c>
      <c r="G1391">
        <v>10</v>
      </c>
      <c r="H1391">
        <v>0</v>
      </c>
      <c r="I1391">
        <v>0</v>
      </c>
    </row>
    <row r="1392" spans="1:9">
      <c r="A1392" t="s">
        <v>1410</v>
      </c>
      <c r="B1392" t="s">
        <v>8</v>
      </c>
      <c r="C1392" t="str">
        <f t="shared" si="42"/>
        <v>A</v>
      </c>
      <c r="D1392" t="s">
        <v>20</v>
      </c>
      <c r="E1392" t="s">
        <v>16</v>
      </c>
      <c r="F1392" t="str">
        <f t="shared" si="43"/>
        <v>Mobile</v>
      </c>
      <c r="G1392">
        <v>1</v>
      </c>
      <c r="H1392">
        <v>0</v>
      </c>
      <c r="I1392">
        <v>0</v>
      </c>
    </row>
    <row r="1393" spans="1:9">
      <c r="A1393" t="s">
        <v>1411</v>
      </c>
      <c r="B1393" t="s">
        <v>8</v>
      </c>
      <c r="C1393" t="str">
        <f t="shared" si="42"/>
        <v>A</v>
      </c>
      <c r="D1393" t="s">
        <v>9</v>
      </c>
      <c r="E1393" t="s">
        <v>10</v>
      </c>
      <c r="F1393" t="str">
        <f t="shared" si="43"/>
        <v>Mobile</v>
      </c>
      <c r="G1393">
        <v>5</v>
      </c>
      <c r="H1393">
        <v>0</v>
      </c>
      <c r="I1393">
        <v>0</v>
      </c>
    </row>
    <row r="1394" spans="1:9">
      <c r="A1394" t="s">
        <v>1412</v>
      </c>
      <c r="B1394" t="s">
        <v>15</v>
      </c>
      <c r="C1394" t="str">
        <f t="shared" si="42"/>
        <v>B</v>
      </c>
      <c r="D1394" t="s">
        <v>20</v>
      </c>
      <c r="E1394" t="s">
        <v>16</v>
      </c>
      <c r="F1394" t="str">
        <f t="shared" si="43"/>
        <v>Mobile</v>
      </c>
      <c r="G1394">
        <v>8</v>
      </c>
      <c r="H1394">
        <v>0</v>
      </c>
      <c r="I1394">
        <v>0</v>
      </c>
    </row>
    <row r="1395" spans="1:9">
      <c r="A1395" t="s">
        <v>1413</v>
      </c>
      <c r="B1395" t="s">
        <v>15</v>
      </c>
      <c r="C1395" t="str">
        <f t="shared" si="42"/>
        <v>B</v>
      </c>
      <c r="D1395" t="s">
        <v>9</v>
      </c>
      <c r="E1395" t="s">
        <v>10</v>
      </c>
      <c r="F1395" t="str">
        <f t="shared" si="43"/>
        <v>Mobile</v>
      </c>
      <c r="G1395">
        <v>2</v>
      </c>
      <c r="H1395">
        <v>0</v>
      </c>
      <c r="I1395">
        <v>0</v>
      </c>
    </row>
    <row r="1396" spans="1:9">
      <c r="A1396" t="s">
        <v>1414</v>
      </c>
      <c r="B1396" t="s">
        <v>15</v>
      </c>
      <c r="C1396" t="str">
        <f t="shared" si="42"/>
        <v>B</v>
      </c>
      <c r="D1396" t="s">
        <v>13</v>
      </c>
      <c r="E1396" t="s">
        <v>16</v>
      </c>
      <c r="F1396" t="str">
        <f t="shared" si="43"/>
        <v>Mobile</v>
      </c>
      <c r="G1396">
        <v>9</v>
      </c>
      <c r="H1396">
        <v>0</v>
      </c>
      <c r="I1396">
        <v>0</v>
      </c>
    </row>
    <row r="1397" spans="1:9">
      <c r="A1397" t="s">
        <v>1415</v>
      </c>
      <c r="B1397" t="s">
        <v>15</v>
      </c>
      <c r="C1397" t="str">
        <f t="shared" si="42"/>
        <v>B</v>
      </c>
      <c r="D1397" t="s">
        <v>13</v>
      </c>
      <c r="E1397" t="s">
        <v>10</v>
      </c>
      <c r="F1397" t="str">
        <f t="shared" si="43"/>
        <v>Mobile</v>
      </c>
      <c r="G1397">
        <v>6</v>
      </c>
      <c r="H1397">
        <v>0</v>
      </c>
      <c r="I1397">
        <v>0</v>
      </c>
    </row>
    <row r="1398" spans="1:9">
      <c r="A1398" t="s">
        <v>1416</v>
      </c>
      <c r="B1398" t="s">
        <v>15</v>
      </c>
      <c r="C1398" t="str">
        <f t="shared" si="42"/>
        <v>B</v>
      </c>
      <c r="D1398" t="s">
        <v>20</v>
      </c>
      <c r="E1398" t="s">
        <v>10</v>
      </c>
      <c r="F1398" t="str">
        <f t="shared" si="43"/>
        <v>Mobile</v>
      </c>
      <c r="G1398">
        <v>7</v>
      </c>
      <c r="H1398">
        <v>0</v>
      </c>
      <c r="I1398">
        <v>0</v>
      </c>
    </row>
    <row r="1399" spans="1:9">
      <c r="A1399" t="s">
        <v>1417</v>
      </c>
      <c r="B1399" t="s">
        <v>15</v>
      </c>
      <c r="C1399" t="str">
        <f t="shared" si="42"/>
        <v>B</v>
      </c>
      <c r="D1399" t="s">
        <v>13</v>
      </c>
      <c r="E1399" t="s">
        <v>10</v>
      </c>
      <c r="F1399" t="str">
        <f t="shared" si="43"/>
        <v>Mobile</v>
      </c>
      <c r="G1399">
        <v>7</v>
      </c>
      <c r="H1399">
        <v>0</v>
      </c>
      <c r="I1399">
        <v>0</v>
      </c>
    </row>
    <row r="1400" spans="1:9">
      <c r="A1400" t="s">
        <v>1418</v>
      </c>
      <c r="B1400" t="s">
        <v>15</v>
      </c>
      <c r="C1400" t="str">
        <f t="shared" si="42"/>
        <v>B</v>
      </c>
      <c r="D1400" t="s">
        <v>20</v>
      </c>
      <c r="E1400" t="s">
        <v>33</v>
      </c>
      <c r="F1400" t="str">
        <f t="shared" si="43"/>
        <v>Desktop</v>
      </c>
      <c r="G1400">
        <v>9</v>
      </c>
      <c r="H1400">
        <v>0</v>
      </c>
      <c r="I1400">
        <v>0</v>
      </c>
    </row>
    <row r="1401" spans="1:9">
      <c r="A1401" t="s">
        <v>1419</v>
      </c>
      <c r="B1401" t="s">
        <v>8</v>
      </c>
      <c r="C1401" t="str">
        <f t="shared" si="42"/>
        <v>A</v>
      </c>
      <c r="D1401" t="s">
        <v>20</v>
      </c>
      <c r="E1401" t="s">
        <v>10</v>
      </c>
      <c r="F1401" t="str">
        <f t="shared" si="43"/>
        <v>Mobile</v>
      </c>
      <c r="G1401">
        <v>11</v>
      </c>
      <c r="H1401">
        <v>0</v>
      </c>
      <c r="I1401">
        <v>0</v>
      </c>
    </row>
    <row r="1402" spans="1:9">
      <c r="A1402" t="s">
        <v>1420</v>
      </c>
      <c r="B1402" t="s">
        <v>8</v>
      </c>
      <c r="C1402" t="str">
        <f t="shared" si="42"/>
        <v>A</v>
      </c>
      <c r="D1402" t="s">
        <v>20</v>
      </c>
      <c r="E1402" t="s">
        <v>10</v>
      </c>
      <c r="F1402" t="str">
        <f t="shared" si="43"/>
        <v>Mobile</v>
      </c>
      <c r="G1402">
        <v>7</v>
      </c>
      <c r="H1402">
        <v>0</v>
      </c>
      <c r="I1402">
        <v>0</v>
      </c>
    </row>
    <row r="1403" spans="1:9">
      <c r="A1403" t="s">
        <v>1421</v>
      </c>
      <c r="B1403" t="s">
        <v>8</v>
      </c>
      <c r="C1403" t="str">
        <f t="shared" si="42"/>
        <v>A</v>
      </c>
      <c r="D1403" t="s">
        <v>20</v>
      </c>
      <c r="E1403" t="s">
        <v>16</v>
      </c>
      <c r="F1403" t="str">
        <f t="shared" si="43"/>
        <v>Mobile</v>
      </c>
      <c r="G1403">
        <v>7</v>
      </c>
      <c r="H1403">
        <v>0</v>
      </c>
      <c r="I1403">
        <v>0</v>
      </c>
    </row>
    <row r="1404" spans="1:9">
      <c r="A1404" t="s">
        <v>1422</v>
      </c>
      <c r="B1404" t="s">
        <v>8</v>
      </c>
      <c r="C1404" t="str">
        <f t="shared" si="42"/>
        <v>A</v>
      </c>
      <c r="D1404" t="s">
        <v>18</v>
      </c>
      <c r="E1404" t="s">
        <v>10</v>
      </c>
      <c r="F1404" t="str">
        <f t="shared" si="43"/>
        <v>Mobile</v>
      </c>
      <c r="G1404">
        <v>3</v>
      </c>
      <c r="H1404">
        <v>0</v>
      </c>
      <c r="I1404">
        <v>0</v>
      </c>
    </row>
    <row r="1405" spans="1:9">
      <c r="A1405" t="s">
        <v>1423</v>
      </c>
      <c r="B1405" t="s">
        <v>15</v>
      </c>
      <c r="C1405" t="str">
        <f t="shared" si="42"/>
        <v>B</v>
      </c>
      <c r="D1405" t="s">
        <v>18</v>
      </c>
      <c r="E1405" t="s">
        <v>10</v>
      </c>
      <c r="F1405" t="str">
        <f t="shared" si="43"/>
        <v>Mobile</v>
      </c>
      <c r="G1405">
        <v>9</v>
      </c>
      <c r="H1405">
        <v>0</v>
      </c>
      <c r="I1405">
        <v>0</v>
      </c>
    </row>
    <row r="1406" spans="1:9">
      <c r="A1406" t="s">
        <v>1424</v>
      </c>
      <c r="B1406" t="s">
        <v>12</v>
      </c>
      <c r="C1406" t="str">
        <f t="shared" si="42"/>
        <v>A</v>
      </c>
      <c r="D1406" t="s">
        <v>20</v>
      </c>
      <c r="E1406" t="s">
        <v>10</v>
      </c>
      <c r="F1406" t="str">
        <f t="shared" si="43"/>
        <v>Mobile</v>
      </c>
      <c r="G1406">
        <v>2</v>
      </c>
      <c r="H1406">
        <v>0</v>
      </c>
      <c r="I1406">
        <v>0</v>
      </c>
    </row>
    <row r="1407" spans="1:9">
      <c r="A1407" t="s">
        <v>1425</v>
      </c>
      <c r="B1407" t="s">
        <v>8</v>
      </c>
      <c r="C1407" t="str">
        <f t="shared" si="42"/>
        <v>A</v>
      </c>
      <c r="D1407" t="s">
        <v>13</v>
      </c>
      <c r="E1407" t="s">
        <v>10</v>
      </c>
      <c r="F1407" t="str">
        <f t="shared" si="43"/>
        <v>Mobile</v>
      </c>
      <c r="G1407">
        <v>6</v>
      </c>
      <c r="H1407">
        <v>0</v>
      </c>
      <c r="I1407">
        <v>0</v>
      </c>
    </row>
    <row r="1408" spans="1:9">
      <c r="A1408" t="s">
        <v>1426</v>
      </c>
      <c r="B1408" t="s">
        <v>8</v>
      </c>
      <c r="C1408" t="str">
        <f t="shared" si="42"/>
        <v>A</v>
      </c>
      <c r="D1408" t="s">
        <v>20</v>
      </c>
      <c r="E1408" t="s">
        <v>33</v>
      </c>
      <c r="F1408" t="str">
        <f t="shared" si="43"/>
        <v>Desktop</v>
      </c>
      <c r="G1408">
        <v>8</v>
      </c>
      <c r="H1408">
        <v>0</v>
      </c>
      <c r="I1408">
        <v>0</v>
      </c>
    </row>
    <row r="1409" spans="1:9">
      <c r="A1409" t="s">
        <v>1427</v>
      </c>
      <c r="B1409" t="s">
        <v>8</v>
      </c>
      <c r="C1409" t="str">
        <f t="shared" si="42"/>
        <v>A</v>
      </c>
      <c r="D1409" t="s">
        <v>13</v>
      </c>
      <c r="E1409" t="s">
        <v>23</v>
      </c>
      <c r="F1409" t="str">
        <f t="shared" si="43"/>
        <v>Desktop</v>
      </c>
      <c r="G1409">
        <v>3</v>
      </c>
      <c r="H1409">
        <v>0</v>
      </c>
      <c r="I1409">
        <v>0</v>
      </c>
    </row>
    <row r="1410" spans="1:9">
      <c r="A1410" t="s">
        <v>1428</v>
      </c>
      <c r="B1410" t="s">
        <v>12</v>
      </c>
      <c r="C1410" t="str">
        <f t="shared" ref="C1410:C1473" si="44">IF(OR(B1410="control", B1410="A"), "A", "B")</f>
        <v>A</v>
      </c>
      <c r="D1410" t="s">
        <v>9</v>
      </c>
      <c r="E1410" t="s">
        <v>10</v>
      </c>
      <c r="F1410" t="str">
        <f t="shared" ref="F1410:F1473" si="45">PROPER(E1410)</f>
        <v>Mobile</v>
      </c>
      <c r="G1410">
        <v>5</v>
      </c>
      <c r="H1410">
        <v>0</v>
      </c>
      <c r="I1410">
        <v>0</v>
      </c>
    </row>
    <row r="1411" spans="1:9">
      <c r="A1411" t="s">
        <v>1429</v>
      </c>
      <c r="B1411" t="s">
        <v>8</v>
      </c>
      <c r="C1411" t="str">
        <f t="shared" si="44"/>
        <v>A</v>
      </c>
      <c r="D1411" t="s">
        <v>18</v>
      </c>
      <c r="E1411" t="s">
        <v>83</v>
      </c>
      <c r="F1411" t="str">
        <f t="shared" si="45"/>
        <v>Tablet</v>
      </c>
      <c r="G1411">
        <v>5</v>
      </c>
      <c r="H1411">
        <v>0</v>
      </c>
      <c r="I1411">
        <v>0</v>
      </c>
    </row>
    <row r="1412" spans="1:9">
      <c r="A1412" t="s">
        <v>1430</v>
      </c>
      <c r="B1412" t="s">
        <v>15</v>
      </c>
      <c r="C1412" t="str">
        <f t="shared" si="44"/>
        <v>B</v>
      </c>
      <c r="D1412" t="s">
        <v>20</v>
      </c>
      <c r="E1412" t="s">
        <v>10</v>
      </c>
      <c r="F1412" t="str">
        <f t="shared" si="45"/>
        <v>Mobile</v>
      </c>
      <c r="G1412">
        <v>3</v>
      </c>
      <c r="H1412">
        <v>0</v>
      </c>
      <c r="I1412">
        <v>0</v>
      </c>
    </row>
    <row r="1413" spans="1:9">
      <c r="A1413" t="s">
        <v>1431</v>
      </c>
      <c r="B1413" t="s">
        <v>8</v>
      </c>
      <c r="C1413" t="str">
        <f t="shared" si="44"/>
        <v>A</v>
      </c>
      <c r="D1413" t="s">
        <v>9</v>
      </c>
      <c r="E1413" t="s">
        <v>10</v>
      </c>
      <c r="F1413" t="str">
        <f t="shared" si="45"/>
        <v>Mobile</v>
      </c>
      <c r="G1413">
        <v>3</v>
      </c>
      <c r="H1413">
        <v>0</v>
      </c>
      <c r="I1413">
        <v>0</v>
      </c>
    </row>
    <row r="1414" spans="1:9">
      <c r="A1414" t="s">
        <v>1432</v>
      </c>
      <c r="B1414" t="s">
        <v>8</v>
      </c>
      <c r="C1414" t="str">
        <f t="shared" si="44"/>
        <v>A</v>
      </c>
      <c r="D1414" t="s">
        <v>20</v>
      </c>
      <c r="E1414" t="s">
        <v>10</v>
      </c>
      <c r="F1414" t="str">
        <f t="shared" si="45"/>
        <v>Mobile</v>
      </c>
      <c r="G1414">
        <v>7</v>
      </c>
      <c r="H1414">
        <v>0</v>
      </c>
      <c r="I1414">
        <v>0</v>
      </c>
    </row>
    <row r="1415" spans="1:9">
      <c r="A1415" t="s">
        <v>1433</v>
      </c>
      <c r="B1415" t="s">
        <v>29</v>
      </c>
      <c r="C1415" t="str">
        <f t="shared" si="44"/>
        <v>B</v>
      </c>
      <c r="D1415" t="s">
        <v>18</v>
      </c>
      <c r="E1415" t="s">
        <v>10</v>
      </c>
      <c r="F1415" t="str">
        <f t="shared" si="45"/>
        <v>Mobile</v>
      </c>
      <c r="G1415">
        <v>7</v>
      </c>
      <c r="H1415">
        <v>0</v>
      </c>
      <c r="I1415">
        <v>0</v>
      </c>
    </row>
    <row r="1416" spans="1:9">
      <c r="A1416" t="s">
        <v>1434</v>
      </c>
      <c r="B1416" t="s">
        <v>29</v>
      </c>
      <c r="C1416" t="str">
        <f t="shared" si="44"/>
        <v>B</v>
      </c>
      <c r="D1416" t="s">
        <v>20</v>
      </c>
      <c r="E1416" t="s">
        <v>10</v>
      </c>
      <c r="F1416" t="str">
        <f t="shared" si="45"/>
        <v>Mobile</v>
      </c>
      <c r="G1416">
        <v>7</v>
      </c>
      <c r="H1416">
        <v>0</v>
      </c>
      <c r="I1416">
        <v>0</v>
      </c>
    </row>
    <row r="1417" spans="1:9">
      <c r="A1417" t="s">
        <v>1435</v>
      </c>
      <c r="B1417" t="s">
        <v>8</v>
      </c>
      <c r="C1417" t="str">
        <f t="shared" si="44"/>
        <v>A</v>
      </c>
      <c r="D1417" t="s">
        <v>13</v>
      </c>
      <c r="E1417" t="s">
        <v>33</v>
      </c>
      <c r="F1417" t="str">
        <f t="shared" si="45"/>
        <v>Desktop</v>
      </c>
      <c r="G1417">
        <v>5</v>
      </c>
      <c r="H1417">
        <v>0</v>
      </c>
      <c r="I1417">
        <v>0</v>
      </c>
    </row>
    <row r="1418" spans="1:9">
      <c r="A1418" t="s">
        <v>1436</v>
      </c>
      <c r="B1418" t="s">
        <v>12</v>
      </c>
      <c r="C1418" t="str">
        <f t="shared" si="44"/>
        <v>A</v>
      </c>
      <c r="D1418" t="s">
        <v>13</v>
      </c>
      <c r="E1418" t="s">
        <v>23</v>
      </c>
      <c r="F1418" t="str">
        <f t="shared" si="45"/>
        <v>Desktop</v>
      </c>
      <c r="G1418">
        <v>5</v>
      </c>
      <c r="H1418">
        <v>0</v>
      </c>
      <c r="I1418">
        <v>0</v>
      </c>
    </row>
    <row r="1419" spans="1:9">
      <c r="A1419" t="s">
        <v>1437</v>
      </c>
      <c r="B1419" t="s">
        <v>15</v>
      </c>
      <c r="C1419" t="str">
        <f t="shared" si="44"/>
        <v>B</v>
      </c>
      <c r="D1419" t="s">
        <v>13</v>
      </c>
      <c r="E1419" t="s">
        <v>10</v>
      </c>
      <c r="F1419" t="str">
        <f t="shared" si="45"/>
        <v>Mobile</v>
      </c>
      <c r="G1419">
        <v>7</v>
      </c>
      <c r="H1419">
        <v>0</v>
      </c>
      <c r="I1419">
        <v>0</v>
      </c>
    </row>
    <row r="1420" spans="1:9">
      <c r="A1420" t="s">
        <v>1438</v>
      </c>
      <c r="B1420" t="s">
        <v>15</v>
      </c>
      <c r="C1420" t="str">
        <f t="shared" si="44"/>
        <v>B</v>
      </c>
      <c r="D1420" t="s">
        <v>20</v>
      </c>
      <c r="E1420" t="s">
        <v>23</v>
      </c>
      <c r="F1420" t="str">
        <f t="shared" si="45"/>
        <v>Desktop</v>
      </c>
      <c r="G1420">
        <v>9</v>
      </c>
      <c r="H1420">
        <v>0</v>
      </c>
      <c r="I1420">
        <v>0</v>
      </c>
    </row>
    <row r="1421" spans="1:9">
      <c r="A1421" t="s">
        <v>1439</v>
      </c>
      <c r="B1421" t="s">
        <v>8</v>
      </c>
      <c r="C1421" t="str">
        <f t="shared" si="44"/>
        <v>A</v>
      </c>
      <c r="D1421" t="s">
        <v>18</v>
      </c>
      <c r="E1421" t="s">
        <v>23</v>
      </c>
      <c r="F1421" t="str">
        <f t="shared" si="45"/>
        <v>Desktop</v>
      </c>
      <c r="G1421">
        <v>10</v>
      </c>
      <c r="H1421">
        <v>0</v>
      </c>
      <c r="I1421">
        <v>0</v>
      </c>
    </row>
    <row r="1422" spans="1:9">
      <c r="A1422" t="s">
        <v>1440</v>
      </c>
      <c r="B1422" t="s">
        <v>15</v>
      </c>
      <c r="C1422" t="str">
        <f t="shared" si="44"/>
        <v>B</v>
      </c>
      <c r="D1422" t="s">
        <v>20</v>
      </c>
      <c r="E1422" t="s">
        <v>33</v>
      </c>
      <c r="F1422" t="str">
        <f t="shared" si="45"/>
        <v>Desktop</v>
      </c>
      <c r="G1422">
        <v>12</v>
      </c>
      <c r="H1422">
        <v>0</v>
      </c>
      <c r="I1422">
        <v>0</v>
      </c>
    </row>
    <row r="1423" spans="1:9">
      <c r="A1423" t="s">
        <v>1441</v>
      </c>
      <c r="B1423" t="s">
        <v>15</v>
      </c>
      <c r="C1423" t="str">
        <f t="shared" si="44"/>
        <v>B</v>
      </c>
      <c r="D1423" t="s">
        <v>13</v>
      </c>
      <c r="E1423" t="s">
        <v>16</v>
      </c>
      <c r="F1423" t="str">
        <f t="shared" si="45"/>
        <v>Mobile</v>
      </c>
      <c r="G1423">
        <v>7</v>
      </c>
      <c r="H1423">
        <v>0</v>
      </c>
      <c r="I1423">
        <v>0</v>
      </c>
    </row>
    <row r="1424" spans="1:9">
      <c r="A1424" t="s">
        <v>1442</v>
      </c>
      <c r="B1424" t="s">
        <v>15</v>
      </c>
      <c r="C1424" t="str">
        <f t="shared" si="44"/>
        <v>B</v>
      </c>
      <c r="D1424" t="s">
        <v>20</v>
      </c>
      <c r="E1424" t="s">
        <v>10</v>
      </c>
      <c r="F1424" t="str">
        <f t="shared" si="45"/>
        <v>Mobile</v>
      </c>
      <c r="G1424">
        <v>8</v>
      </c>
      <c r="H1424">
        <v>1</v>
      </c>
      <c r="I1424">
        <v>1568.24</v>
      </c>
    </row>
    <row r="1425" spans="1:9">
      <c r="A1425" t="s">
        <v>1443</v>
      </c>
      <c r="B1425" t="s">
        <v>8</v>
      </c>
      <c r="C1425" t="str">
        <f t="shared" si="44"/>
        <v>A</v>
      </c>
      <c r="D1425" t="s">
        <v>20</v>
      </c>
      <c r="E1425" t="s">
        <v>23</v>
      </c>
      <c r="F1425" t="str">
        <f t="shared" si="45"/>
        <v>Desktop</v>
      </c>
      <c r="G1425">
        <v>10</v>
      </c>
      <c r="H1425">
        <v>0</v>
      </c>
      <c r="I1425">
        <v>0</v>
      </c>
    </row>
    <row r="1426" spans="1:9">
      <c r="A1426" t="s">
        <v>1444</v>
      </c>
      <c r="B1426" t="s">
        <v>8</v>
      </c>
      <c r="C1426" t="str">
        <f t="shared" si="44"/>
        <v>A</v>
      </c>
      <c r="D1426" t="s">
        <v>13</v>
      </c>
      <c r="E1426" t="s">
        <v>23</v>
      </c>
      <c r="F1426" t="str">
        <f t="shared" si="45"/>
        <v>Desktop</v>
      </c>
      <c r="G1426">
        <v>3</v>
      </c>
      <c r="H1426">
        <v>0</v>
      </c>
      <c r="I1426">
        <v>0</v>
      </c>
    </row>
    <row r="1427" spans="1:9">
      <c r="A1427" t="s">
        <v>1445</v>
      </c>
      <c r="B1427" t="s">
        <v>8</v>
      </c>
      <c r="C1427" t="str">
        <f t="shared" si="44"/>
        <v>A</v>
      </c>
      <c r="D1427" t="s">
        <v>20</v>
      </c>
      <c r="E1427" t="s">
        <v>23</v>
      </c>
      <c r="F1427" t="str">
        <f t="shared" si="45"/>
        <v>Desktop</v>
      </c>
      <c r="G1427">
        <v>4</v>
      </c>
      <c r="H1427">
        <v>0</v>
      </c>
      <c r="I1427">
        <v>0</v>
      </c>
    </row>
    <row r="1428" spans="1:9">
      <c r="A1428" t="s">
        <v>1446</v>
      </c>
      <c r="B1428" t="s">
        <v>15</v>
      </c>
      <c r="C1428" t="str">
        <f t="shared" si="44"/>
        <v>B</v>
      </c>
      <c r="D1428" t="s">
        <v>20</v>
      </c>
      <c r="E1428" t="s">
        <v>10</v>
      </c>
      <c r="F1428" t="str">
        <f t="shared" si="45"/>
        <v>Mobile</v>
      </c>
      <c r="G1428">
        <v>7</v>
      </c>
      <c r="H1428">
        <v>0</v>
      </c>
      <c r="I1428">
        <v>0</v>
      </c>
    </row>
    <row r="1429" spans="1:9">
      <c r="A1429" t="s">
        <v>1447</v>
      </c>
      <c r="B1429" t="s">
        <v>8</v>
      </c>
      <c r="C1429" t="str">
        <f t="shared" si="44"/>
        <v>A</v>
      </c>
      <c r="D1429" t="s">
        <v>20</v>
      </c>
      <c r="E1429" t="s">
        <v>10</v>
      </c>
      <c r="F1429" t="str">
        <f t="shared" si="45"/>
        <v>Mobile</v>
      </c>
      <c r="G1429">
        <v>6</v>
      </c>
      <c r="H1429">
        <v>0</v>
      </c>
      <c r="I1429">
        <v>0</v>
      </c>
    </row>
    <row r="1430" spans="1:9">
      <c r="A1430" t="s">
        <v>1448</v>
      </c>
      <c r="B1430" t="s">
        <v>15</v>
      </c>
      <c r="C1430" t="str">
        <f t="shared" si="44"/>
        <v>B</v>
      </c>
      <c r="D1430" t="s">
        <v>20</v>
      </c>
      <c r="E1430" t="s">
        <v>23</v>
      </c>
      <c r="F1430" t="str">
        <f t="shared" si="45"/>
        <v>Desktop</v>
      </c>
      <c r="G1430">
        <v>6</v>
      </c>
      <c r="H1430">
        <v>0</v>
      </c>
      <c r="I1430">
        <v>0</v>
      </c>
    </row>
    <row r="1431" spans="1:9">
      <c r="A1431" t="s">
        <v>1449</v>
      </c>
      <c r="B1431" t="s">
        <v>29</v>
      </c>
      <c r="C1431" t="str">
        <f t="shared" si="44"/>
        <v>B</v>
      </c>
      <c r="D1431" t="s">
        <v>13</v>
      </c>
      <c r="E1431" t="s">
        <v>10</v>
      </c>
      <c r="F1431" t="str">
        <f t="shared" si="45"/>
        <v>Mobile</v>
      </c>
      <c r="G1431">
        <v>5</v>
      </c>
      <c r="H1431">
        <v>0</v>
      </c>
      <c r="I1431">
        <v>0</v>
      </c>
    </row>
    <row r="1432" spans="1:9">
      <c r="A1432" t="s">
        <v>1450</v>
      </c>
      <c r="B1432" t="s">
        <v>8</v>
      </c>
      <c r="C1432" t="str">
        <f t="shared" si="44"/>
        <v>A</v>
      </c>
      <c r="D1432" t="s">
        <v>9</v>
      </c>
      <c r="E1432" t="s">
        <v>10</v>
      </c>
      <c r="F1432" t="str">
        <f t="shared" si="45"/>
        <v>Mobile</v>
      </c>
      <c r="G1432">
        <v>8</v>
      </c>
      <c r="H1432">
        <v>0</v>
      </c>
      <c r="I1432">
        <v>0</v>
      </c>
    </row>
    <row r="1433" spans="1:9">
      <c r="A1433" t="s">
        <v>1451</v>
      </c>
      <c r="B1433" t="s">
        <v>15</v>
      </c>
      <c r="C1433" t="str">
        <f t="shared" si="44"/>
        <v>B</v>
      </c>
      <c r="D1433" t="s">
        <v>20</v>
      </c>
      <c r="E1433" t="s">
        <v>23</v>
      </c>
      <c r="F1433" t="str">
        <f t="shared" si="45"/>
        <v>Desktop</v>
      </c>
      <c r="G1433">
        <v>7</v>
      </c>
      <c r="H1433">
        <v>0</v>
      </c>
      <c r="I1433">
        <v>0</v>
      </c>
    </row>
    <row r="1434" spans="1:9">
      <c r="A1434" t="s">
        <v>1452</v>
      </c>
      <c r="B1434" t="s">
        <v>8</v>
      </c>
      <c r="C1434" t="str">
        <f t="shared" si="44"/>
        <v>A</v>
      </c>
      <c r="D1434" t="s">
        <v>20</v>
      </c>
      <c r="E1434" t="s">
        <v>10</v>
      </c>
      <c r="F1434" t="str">
        <f t="shared" si="45"/>
        <v>Mobile</v>
      </c>
      <c r="G1434">
        <v>8</v>
      </c>
      <c r="H1434">
        <v>0</v>
      </c>
      <c r="I1434">
        <v>0</v>
      </c>
    </row>
    <row r="1435" spans="1:9">
      <c r="A1435" t="s">
        <v>1453</v>
      </c>
      <c r="B1435" t="s">
        <v>15</v>
      </c>
      <c r="C1435" t="str">
        <f t="shared" si="44"/>
        <v>B</v>
      </c>
      <c r="D1435" t="s">
        <v>20</v>
      </c>
      <c r="E1435" t="s">
        <v>23</v>
      </c>
      <c r="F1435" t="str">
        <f t="shared" si="45"/>
        <v>Desktop</v>
      </c>
      <c r="G1435">
        <v>6</v>
      </c>
      <c r="H1435">
        <v>0</v>
      </c>
      <c r="I1435">
        <v>0</v>
      </c>
    </row>
    <row r="1436" spans="1:9">
      <c r="A1436" t="s">
        <v>1454</v>
      </c>
      <c r="B1436" t="s">
        <v>8</v>
      </c>
      <c r="C1436" t="str">
        <f t="shared" si="44"/>
        <v>A</v>
      </c>
      <c r="D1436" t="s">
        <v>20</v>
      </c>
      <c r="E1436" t="s">
        <v>23</v>
      </c>
      <c r="F1436" t="str">
        <f t="shared" si="45"/>
        <v>Desktop</v>
      </c>
      <c r="G1436">
        <v>7</v>
      </c>
      <c r="H1436">
        <v>0</v>
      </c>
      <c r="I1436">
        <v>0</v>
      </c>
    </row>
    <row r="1437" spans="1:9">
      <c r="A1437" t="s">
        <v>1455</v>
      </c>
      <c r="B1437" t="s">
        <v>15</v>
      </c>
      <c r="C1437" t="str">
        <f t="shared" si="44"/>
        <v>B</v>
      </c>
      <c r="D1437" t="s">
        <v>13</v>
      </c>
      <c r="E1437" t="s">
        <v>33</v>
      </c>
      <c r="F1437" t="str">
        <f t="shared" si="45"/>
        <v>Desktop</v>
      </c>
      <c r="G1437">
        <v>6</v>
      </c>
      <c r="H1437">
        <v>0</v>
      </c>
      <c r="I1437">
        <v>0</v>
      </c>
    </row>
    <row r="1438" spans="1:9">
      <c r="A1438" t="s">
        <v>1456</v>
      </c>
      <c r="B1438" t="s">
        <v>15</v>
      </c>
      <c r="C1438" t="str">
        <f t="shared" si="44"/>
        <v>B</v>
      </c>
      <c r="D1438" t="s">
        <v>13</v>
      </c>
      <c r="E1438" t="s">
        <v>10</v>
      </c>
      <c r="F1438" t="str">
        <f t="shared" si="45"/>
        <v>Mobile</v>
      </c>
      <c r="G1438">
        <v>9</v>
      </c>
      <c r="H1438">
        <v>0</v>
      </c>
      <c r="I1438">
        <v>0</v>
      </c>
    </row>
    <row r="1439" spans="1:9">
      <c r="A1439" t="s">
        <v>1457</v>
      </c>
      <c r="B1439" t="s">
        <v>12</v>
      </c>
      <c r="C1439" t="str">
        <f t="shared" si="44"/>
        <v>A</v>
      </c>
      <c r="D1439" t="s">
        <v>20</v>
      </c>
      <c r="E1439" t="s">
        <v>10</v>
      </c>
      <c r="F1439" t="str">
        <f t="shared" si="45"/>
        <v>Mobile</v>
      </c>
      <c r="G1439">
        <v>4</v>
      </c>
      <c r="H1439">
        <v>0</v>
      </c>
      <c r="I1439">
        <v>0</v>
      </c>
    </row>
    <row r="1440" spans="1:9">
      <c r="A1440" t="s">
        <v>1458</v>
      </c>
      <c r="B1440" t="s">
        <v>15</v>
      </c>
      <c r="C1440" t="str">
        <f t="shared" si="44"/>
        <v>B</v>
      </c>
      <c r="D1440" t="s">
        <v>20</v>
      </c>
      <c r="E1440" t="s">
        <v>23</v>
      </c>
      <c r="F1440" t="str">
        <f t="shared" si="45"/>
        <v>Desktop</v>
      </c>
      <c r="G1440">
        <v>6</v>
      </c>
      <c r="H1440">
        <v>0</v>
      </c>
      <c r="I1440">
        <v>0</v>
      </c>
    </row>
    <row r="1441" spans="1:9">
      <c r="A1441" t="s">
        <v>1459</v>
      </c>
      <c r="B1441" t="s">
        <v>15</v>
      </c>
      <c r="C1441" t="str">
        <f t="shared" si="44"/>
        <v>B</v>
      </c>
      <c r="D1441" t="s">
        <v>20</v>
      </c>
      <c r="E1441" t="s">
        <v>16</v>
      </c>
      <c r="F1441" t="str">
        <f t="shared" si="45"/>
        <v>Mobile</v>
      </c>
      <c r="G1441">
        <v>9</v>
      </c>
      <c r="H1441">
        <v>1</v>
      </c>
      <c r="I1441">
        <v>1461.41</v>
      </c>
    </row>
    <row r="1442" spans="1:9">
      <c r="A1442" t="s">
        <v>1460</v>
      </c>
      <c r="B1442" t="s">
        <v>15</v>
      </c>
      <c r="C1442" t="str">
        <f t="shared" si="44"/>
        <v>B</v>
      </c>
      <c r="D1442" t="s">
        <v>9</v>
      </c>
      <c r="E1442" t="s">
        <v>83</v>
      </c>
      <c r="F1442" t="str">
        <f t="shared" si="45"/>
        <v>Tablet</v>
      </c>
      <c r="G1442">
        <v>5</v>
      </c>
      <c r="H1442">
        <v>0</v>
      </c>
      <c r="I1442">
        <v>0</v>
      </c>
    </row>
    <row r="1443" spans="1:9">
      <c r="A1443" t="s">
        <v>1461</v>
      </c>
      <c r="B1443" t="s">
        <v>15</v>
      </c>
      <c r="C1443" t="str">
        <f t="shared" si="44"/>
        <v>B</v>
      </c>
      <c r="D1443" t="s">
        <v>18</v>
      </c>
      <c r="E1443" t="s">
        <v>10</v>
      </c>
      <c r="F1443" t="str">
        <f t="shared" si="45"/>
        <v>Mobile</v>
      </c>
      <c r="G1443">
        <v>10</v>
      </c>
      <c r="H1443">
        <v>0</v>
      </c>
      <c r="I1443">
        <v>0</v>
      </c>
    </row>
    <row r="1444" spans="1:9">
      <c r="A1444" t="s">
        <v>1462</v>
      </c>
      <c r="B1444" t="s">
        <v>15</v>
      </c>
      <c r="C1444" t="str">
        <f t="shared" si="44"/>
        <v>B</v>
      </c>
      <c r="D1444" t="s">
        <v>20</v>
      </c>
      <c r="E1444" t="s">
        <v>10</v>
      </c>
      <c r="F1444" t="str">
        <f t="shared" si="45"/>
        <v>Mobile</v>
      </c>
      <c r="G1444">
        <v>6</v>
      </c>
      <c r="H1444">
        <v>0</v>
      </c>
      <c r="I1444">
        <v>0</v>
      </c>
    </row>
    <row r="1445" spans="1:9">
      <c r="A1445" t="s">
        <v>1463</v>
      </c>
      <c r="B1445" t="s">
        <v>8</v>
      </c>
      <c r="C1445" t="str">
        <f t="shared" si="44"/>
        <v>A</v>
      </c>
      <c r="D1445" t="s">
        <v>20</v>
      </c>
      <c r="E1445" t="s">
        <v>33</v>
      </c>
      <c r="F1445" t="str">
        <f t="shared" si="45"/>
        <v>Desktop</v>
      </c>
      <c r="G1445">
        <v>6</v>
      </c>
      <c r="H1445">
        <v>0</v>
      </c>
      <c r="I1445">
        <v>0</v>
      </c>
    </row>
    <row r="1446" spans="1:9">
      <c r="A1446" t="s">
        <v>1464</v>
      </c>
      <c r="B1446" t="s">
        <v>12</v>
      </c>
      <c r="C1446" t="str">
        <f t="shared" si="44"/>
        <v>A</v>
      </c>
      <c r="D1446" t="s">
        <v>9</v>
      </c>
      <c r="E1446" t="s">
        <v>10</v>
      </c>
      <c r="F1446" t="str">
        <f t="shared" si="45"/>
        <v>Mobile</v>
      </c>
      <c r="G1446">
        <v>6</v>
      </c>
      <c r="H1446">
        <v>0</v>
      </c>
      <c r="I1446">
        <v>0</v>
      </c>
    </row>
    <row r="1447" spans="1:9">
      <c r="A1447" t="s">
        <v>1465</v>
      </c>
      <c r="B1447" t="s">
        <v>15</v>
      </c>
      <c r="C1447" t="str">
        <f t="shared" si="44"/>
        <v>B</v>
      </c>
      <c r="D1447" t="s">
        <v>18</v>
      </c>
      <c r="E1447" t="s">
        <v>23</v>
      </c>
      <c r="F1447" t="str">
        <f t="shared" si="45"/>
        <v>Desktop</v>
      </c>
      <c r="G1447">
        <v>8</v>
      </c>
      <c r="H1447">
        <v>0</v>
      </c>
      <c r="I1447">
        <v>0</v>
      </c>
    </row>
    <row r="1448" spans="1:9">
      <c r="A1448" t="s">
        <v>1466</v>
      </c>
      <c r="B1448" t="s">
        <v>15</v>
      </c>
      <c r="C1448" t="str">
        <f t="shared" si="44"/>
        <v>B</v>
      </c>
      <c r="D1448" t="s">
        <v>20</v>
      </c>
      <c r="E1448" t="s">
        <v>10</v>
      </c>
      <c r="F1448" t="str">
        <f t="shared" si="45"/>
        <v>Mobile</v>
      </c>
      <c r="G1448">
        <v>3</v>
      </c>
      <c r="H1448">
        <v>0</v>
      </c>
      <c r="I1448">
        <v>0</v>
      </c>
    </row>
    <row r="1449" spans="1:9">
      <c r="A1449" t="s">
        <v>1467</v>
      </c>
      <c r="B1449" t="s">
        <v>8</v>
      </c>
      <c r="C1449" t="str">
        <f t="shared" si="44"/>
        <v>A</v>
      </c>
      <c r="D1449" t="s">
        <v>20</v>
      </c>
      <c r="E1449" t="s">
        <v>10</v>
      </c>
      <c r="F1449" t="str">
        <f t="shared" si="45"/>
        <v>Mobile</v>
      </c>
      <c r="G1449">
        <v>5</v>
      </c>
      <c r="H1449">
        <v>0</v>
      </c>
      <c r="I1449">
        <v>0</v>
      </c>
    </row>
    <row r="1450" spans="1:9">
      <c r="A1450" t="s">
        <v>1468</v>
      </c>
      <c r="B1450" t="s">
        <v>15</v>
      </c>
      <c r="C1450" t="str">
        <f t="shared" si="44"/>
        <v>B</v>
      </c>
      <c r="D1450" t="s">
        <v>20</v>
      </c>
      <c r="E1450" t="s">
        <v>10</v>
      </c>
      <c r="F1450" t="str">
        <f t="shared" si="45"/>
        <v>Mobile</v>
      </c>
      <c r="G1450">
        <v>5</v>
      </c>
      <c r="H1450">
        <v>0</v>
      </c>
      <c r="I1450">
        <v>0</v>
      </c>
    </row>
    <row r="1451" spans="1:9">
      <c r="A1451" t="s">
        <v>1469</v>
      </c>
      <c r="B1451" t="s">
        <v>8</v>
      </c>
      <c r="C1451" t="str">
        <f t="shared" si="44"/>
        <v>A</v>
      </c>
      <c r="D1451" t="s">
        <v>13</v>
      </c>
      <c r="E1451" t="s">
        <v>10</v>
      </c>
      <c r="F1451" t="str">
        <f t="shared" si="45"/>
        <v>Mobile</v>
      </c>
      <c r="G1451">
        <v>4</v>
      </c>
      <c r="H1451">
        <v>0</v>
      </c>
      <c r="I1451">
        <v>0</v>
      </c>
    </row>
    <row r="1452" spans="1:9">
      <c r="A1452" t="s">
        <v>1470</v>
      </c>
      <c r="B1452" t="s">
        <v>15</v>
      </c>
      <c r="C1452" t="str">
        <f t="shared" si="44"/>
        <v>B</v>
      </c>
      <c r="D1452" t="s">
        <v>20</v>
      </c>
      <c r="E1452" t="s">
        <v>23</v>
      </c>
      <c r="F1452" t="str">
        <f t="shared" si="45"/>
        <v>Desktop</v>
      </c>
      <c r="G1452">
        <v>6</v>
      </c>
      <c r="H1452">
        <v>0</v>
      </c>
      <c r="I1452">
        <v>0</v>
      </c>
    </row>
    <row r="1453" spans="1:9">
      <c r="A1453" t="s">
        <v>1471</v>
      </c>
      <c r="B1453" t="s">
        <v>8</v>
      </c>
      <c r="C1453" t="str">
        <f t="shared" si="44"/>
        <v>A</v>
      </c>
      <c r="D1453" t="s">
        <v>20</v>
      </c>
      <c r="E1453" t="s">
        <v>33</v>
      </c>
      <c r="F1453" t="str">
        <f t="shared" si="45"/>
        <v>Desktop</v>
      </c>
      <c r="G1453">
        <v>6</v>
      </c>
      <c r="H1453">
        <v>0</v>
      </c>
      <c r="I1453">
        <v>0</v>
      </c>
    </row>
    <row r="1454" spans="1:9">
      <c r="A1454" t="s">
        <v>1472</v>
      </c>
      <c r="B1454" t="s">
        <v>15</v>
      </c>
      <c r="C1454" t="str">
        <f t="shared" si="44"/>
        <v>B</v>
      </c>
      <c r="D1454" t="s">
        <v>13</v>
      </c>
      <c r="E1454" t="s">
        <v>10</v>
      </c>
      <c r="F1454" t="str">
        <f t="shared" si="45"/>
        <v>Mobile</v>
      </c>
      <c r="G1454">
        <v>4</v>
      </c>
      <c r="H1454">
        <v>0</v>
      </c>
      <c r="I1454">
        <v>0</v>
      </c>
    </row>
    <row r="1455" spans="1:9">
      <c r="A1455" t="s">
        <v>1473</v>
      </c>
      <c r="B1455" t="s">
        <v>29</v>
      </c>
      <c r="C1455" t="str">
        <f t="shared" si="44"/>
        <v>B</v>
      </c>
      <c r="D1455" t="s">
        <v>20</v>
      </c>
      <c r="E1455" t="s">
        <v>23</v>
      </c>
      <c r="F1455" t="str">
        <f t="shared" si="45"/>
        <v>Desktop</v>
      </c>
      <c r="G1455">
        <v>5</v>
      </c>
      <c r="H1455">
        <v>0</v>
      </c>
      <c r="I1455">
        <v>0</v>
      </c>
    </row>
    <row r="1456" spans="1:9">
      <c r="A1456" t="s">
        <v>1474</v>
      </c>
      <c r="B1456" t="s">
        <v>8</v>
      </c>
      <c r="C1456" t="str">
        <f t="shared" si="44"/>
        <v>A</v>
      </c>
      <c r="D1456" t="s">
        <v>9</v>
      </c>
      <c r="E1456" t="s">
        <v>10</v>
      </c>
      <c r="F1456" t="str">
        <f t="shared" si="45"/>
        <v>Mobile</v>
      </c>
      <c r="G1456">
        <v>4</v>
      </c>
      <c r="H1456">
        <v>0</v>
      </c>
      <c r="I1456">
        <v>0</v>
      </c>
    </row>
    <row r="1457" spans="1:9">
      <c r="A1457" t="s">
        <v>1475</v>
      </c>
      <c r="B1457" t="s">
        <v>29</v>
      </c>
      <c r="C1457" t="str">
        <f t="shared" si="44"/>
        <v>B</v>
      </c>
      <c r="D1457" t="s">
        <v>20</v>
      </c>
      <c r="E1457" t="s">
        <v>23</v>
      </c>
      <c r="F1457" t="str">
        <f t="shared" si="45"/>
        <v>Desktop</v>
      </c>
      <c r="G1457">
        <v>6</v>
      </c>
      <c r="H1457">
        <v>0</v>
      </c>
      <c r="I1457">
        <v>0</v>
      </c>
    </row>
    <row r="1458" spans="1:9">
      <c r="A1458" t="s">
        <v>1476</v>
      </c>
      <c r="B1458" t="s">
        <v>8</v>
      </c>
      <c r="C1458" t="str">
        <f t="shared" si="44"/>
        <v>A</v>
      </c>
      <c r="D1458" t="s">
        <v>20</v>
      </c>
      <c r="E1458" t="s">
        <v>10</v>
      </c>
      <c r="F1458" t="str">
        <f t="shared" si="45"/>
        <v>Mobile</v>
      </c>
      <c r="G1458">
        <v>9</v>
      </c>
      <c r="H1458">
        <v>0</v>
      </c>
      <c r="I1458">
        <v>0</v>
      </c>
    </row>
    <row r="1459" spans="1:9">
      <c r="A1459" t="s">
        <v>1477</v>
      </c>
      <c r="B1459" t="s">
        <v>15</v>
      </c>
      <c r="C1459" t="str">
        <f t="shared" si="44"/>
        <v>B</v>
      </c>
      <c r="D1459" t="s">
        <v>13</v>
      </c>
      <c r="E1459" t="s">
        <v>33</v>
      </c>
      <c r="F1459" t="str">
        <f t="shared" si="45"/>
        <v>Desktop</v>
      </c>
      <c r="G1459">
        <v>5</v>
      </c>
      <c r="H1459">
        <v>1</v>
      </c>
      <c r="I1459">
        <v>2881.95</v>
      </c>
    </row>
    <row r="1460" spans="1:9">
      <c r="A1460" t="s">
        <v>1478</v>
      </c>
      <c r="B1460" t="s">
        <v>15</v>
      </c>
      <c r="C1460" t="str">
        <f t="shared" si="44"/>
        <v>B</v>
      </c>
      <c r="D1460" t="s">
        <v>20</v>
      </c>
      <c r="E1460" t="s">
        <v>23</v>
      </c>
      <c r="F1460" t="str">
        <f t="shared" si="45"/>
        <v>Desktop</v>
      </c>
      <c r="G1460">
        <v>3</v>
      </c>
      <c r="H1460">
        <v>0</v>
      </c>
      <c r="I1460">
        <v>0</v>
      </c>
    </row>
    <row r="1461" spans="1:9">
      <c r="A1461" t="s">
        <v>1479</v>
      </c>
      <c r="B1461" t="s">
        <v>15</v>
      </c>
      <c r="C1461" t="str">
        <f t="shared" si="44"/>
        <v>B</v>
      </c>
      <c r="D1461" t="s">
        <v>18</v>
      </c>
      <c r="E1461" t="s">
        <v>23</v>
      </c>
      <c r="F1461" t="str">
        <f t="shared" si="45"/>
        <v>Desktop</v>
      </c>
      <c r="G1461">
        <v>8</v>
      </c>
      <c r="H1461">
        <v>0</v>
      </c>
      <c r="I1461">
        <v>0</v>
      </c>
    </row>
    <row r="1462" spans="1:9">
      <c r="A1462" t="s">
        <v>1480</v>
      </c>
      <c r="B1462" t="s">
        <v>15</v>
      </c>
      <c r="C1462" t="str">
        <f t="shared" si="44"/>
        <v>B</v>
      </c>
      <c r="D1462" t="s">
        <v>13</v>
      </c>
      <c r="E1462" t="s">
        <v>16</v>
      </c>
      <c r="F1462" t="str">
        <f t="shared" si="45"/>
        <v>Mobile</v>
      </c>
      <c r="G1462">
        <v>5</v>
      </c>
      <c r="H1462">
        <v>0</v>
      </c>
      <c r="I1462">
        <v>0</v>
      </c>
    </row>
    <row r="1463" spans="1:9">
      <c r="A1463" t="s">
        <v>1481</v>
      </c>
      <c r="B1463" t="s">
        <v>15</v>
      </c>
      <c r="C1463" t="str">
        <f t="shared" si="44"/>
        <v>B</v>
      </c>
      <c r="D1463" t="s">
        <v>20</v>
      </c>
      <c r="E1463" t="s">
        <v>23</v>
      </c>
      <c r="F1463" t="str">
        <f t="shared" si="45"/>
        <v>Desktop</v>
      </c>
      <c r="G1463">
        <v>1</v>
      </c>
      <c r="H1463">
        <v>0</v>
      </c>
      <c r="I1463">
        <v>0</v>
      </c>
    </row>
    <row r="1464" spans="1:9">
      <c r="A1464" t="s">
        <v>1482</v>
      </c>
      <c r="B1464" t="s">
        <v>8</v>
      </c>
      <c r="C1464" t="str">
        <f t="shared" si="44"/>
        <v>A</v>
      </c>
      <c r="D1464" t="s">
        <v>13</v>
      </c>
      <c r="E1464" t="s">
        <v>33</v>
      </c>
      <c r="F1464" t="str">
        <f t="shared" si="45"/>
        <v>Desktop</v>
      </c>
      <c r="G1464">
        <v>4</v>
      </c>
      <c r="H1464">
        <v>0</v>
      </c>
      <c r="I1464">
        <v>0</v>
      </c>
    </row>
    <row r="1465" spans="1:9">
      <c r="A1465" t="s">
        <v>1483</v>
      </c>
      <c r="B1465" t="s">
        <v>8</v>
      </c>
      <c r="C1465" t="str">
        <f t="shared" si="44"/>
        <v>A</v>
      </c>
      <c r="D1465" t="s">
        <v>20</v>
      </c>
      <c r="E1465" t="s">
        <v>23</v>
      </c>
      <c r="F1465" t="str">
        <f t="shared" si="45"/>
        <v>Desktop</v>
      </c>
      <c r="G1465">
        <v>5</v>
      </c>
      <c r="H1465">
        <v>0</v>
      </c>
      <c r="I1465">
        <v>0</v>
      </c>
    </row>
    <row r="1466" spans="1:9">
      <c r="A1466" t="s">
        <v>1484</v>
      </c>
      <c r="B1466" t="s">
        <v>15</v>
      </c>
      <c r="C1466" t="str">
        <f t="shared" si="44"/>
        <v>B</v>
      </c>
      <c r="D1466" t="s">
        <v>9</v>
      </c>
      <c r="E1466" t="s">
        <v>33</v>
      </c>
      <c r="F1466" t="str">
        <f t="shared" si="45"/>
        <v>Desktop</v>
      </c>
      <c r="G1466">
        <v>10</v>
      </c>
      <c r="H1466">
        <v>1</v>
      </c>
      <c r="I1466">
        <v>6225.87</v>
      </c>
    </row>
    <row r="1467" spans="1:9">
      <c r="A1467" t="s">
        <v>1485</v>
      </c>
      <c r="B1467" t="s">
        <v>15</v>
      </c>
      <c r="C1467" t="str">
        <f t="shared" si="44"/>
        <v>B</v>
      </c>
      <c r="D1467" t="s">
        <v>20</v>
      </c>
      <c r="E1467" t="s">
        <v>10</v>
      </c>
      <c r="F1467" t="str">
        <f t="shared" si="45"/>
        <v>Mobile</v>
      </c>
      <c r="G1467">
        <v>8</v>
      </c>
      <c r="H1467">
        <v>0</v>
      </c>
      <c r="I1467">
        <v>0</v>
      </c>
    </row>
    <row r="1468" spans="1:9">
      <c r="A1468" t="s">
        <v>1486</v>
      </c>
      <c r="B1468" t="s">
        <v>15</v>
      </c>
      <c r="C1468" t="str">
        <f t="shared" si="44"/>
        <v>B</v>
      </c>
      <c r="D1468" t="s">
        <v>13</v>
      </c>
      <c r="E1468" t="s">
        <v>10</v>
      </c>
      <c r="F1468" t="str">
        <f t="shared" si="45"/>
        <v>Mobile</v>
      </c>
      <c r="G1468">
        <v>3</v>
      </c>
      <c r="H1468">
        <v>0</v>
      </c>
      <c r="I1468">
        <v>0</v>
      </c>
    </row>
    <row r="1469" spans="1:9">
      <c r="A1469" t="s">
        <v>1487</v>
      </c>
      <c r="B1469" t="s">
        <v>15</v>
      </c>
      <c r="C1469" t="str">
        <f t="shared" si="44"/>
        <v>B</v>
      </c>
      <c r="D1469" t="s">
        <v>20</v>
      </c>
      <c r="E1469" t="s">
        <v>23</v>
      </c>
      <c r="F1469" t="str">
        <f t="shared" si="45"/>
        <v>Desktop</v>
      </c>
      <c r="G1469">
        <v>5</v>
      </c>
      <c r="H1469">
        <v>0</v>
      </c>
      <c r="I1469">
        <v>0</v>
      </c>
    </row>
    <row r="1470" spans="1:9">
      <c r="A1470" t="s">
        <v>1488</v>
      </c>
      <c r="B1470" t="s">
        <v>8</v>
      </c>
      <c r="C1470" t="str">
        <f t="shared" si="44"/>
        <v>A</v>
      </c>
      <c r="D1470" t="s">
        <v>13</v>
      </c>
      <c r="E1470" t="s">
        <v>10</v>
      </c>
      <c r="F1470" t="str">
        <f t="shared" si="45"/>
        <v>Mobile</v>
      </c>
      <c r="G1470">
        <v>6</v>
      </c>
      <c r="H1470">
        <v>0</v>
      </c>
      <c r="I1470">
        <v>0</v>
      </c>
    </row>
    <row r="1471" spans="1:9">
      <c r="A1471" t="s">
        <v>1489</v>
      </c>
      <c r="B1471" t="s">
        <v>15</v>
      </c>
      <c r="C1471" t="str">
        <f t="shared" si="44"/>
        <v>B</v>
      </c>
      <c r="D1471" t="s">
        <v>9</v>
      </c>
      <c r="E1471" t="s">
        <v>23</v>
      </c>
      <c r="F1471" t="str">
        <f t="shared" si="45"/>
        <v>Desktop</v>
      </c>
      <c r="G1471">
        <v>9</v>
      </c>
      <c r="H1471">
        <v>0</v>
      </c>
      <c r="I1471">
        <v>0</v>
      </c>
    </row>
    <row r="1472" spans="1:9">
      <c r="A1472" t="s">
        <v>1490</v>
      </c>
      <c r="B1472" t="s">
        <v>8</v>
      </c>
      <c r="C1472" t="str">
        <f t="shared" si="44"/>
        <v>A</v>
      </c>
      <c r="D1472" t="s">
        <v>9</v>
      </c>
      <c r="E1472" t="s">
        <v>10</v>
      </c>
      <c r="F1472" t="str">
        <f t="shared" si="45"/>
        <v>Mobile</v>
      </c>
      <c r="G1472">
        <v>7</v>
      </c>
      <c r="H1472">
        <v>0</v>
      </c>
      <c r="I1472">
        <v>0</v>
      </c>
    </row>
    <row r="1473" spans="1:9">
      <c r="A1473" t="s">
        <v>1491</v>
      </c>
      <c r="B1473" t="s">
        <v>15</v>
      </c>
      <c r="C1473" t="str">
        <f t="shared" si="44"/>
        <v>B</v>
      </c>
      <c r="D1473" t="s">
        <v>20</v>
      </c>
      <c r="E1473" t="s">
        <v>23</v>
      </c>
      <c r="F1473" t="str">
        <f t="shared" si="45"/>
        <v>Desktop</v>
      </c>
      <c r="G1473">
        <v>4</v>
      </c>
      <c r="H1473">
        <v>0</v>
      </c>
      <c r="I1473">
        <v>0</v>
      </c>
    </row>
    <row r="1474" spans="1:9">
      <c r="A1474" t="s">
        <v>1492</v>
      </c>
      <c r="B1474" t="s">
        <v>8</v>
      </c>
      <c r="C1474" t="str">
        <f t="shared" ref="C1474:C1537" si="46">IF(OR(B1474="control", B1474="A"), "A", "B")</f>
        <v>A</v>
      </c>
      <c r="D1474" t="s">
        <v>20</v>
      </c>
      <c r="E1474" t="s">
        <v>10</v>
      </c>
      <c r="F1474" t="str">
        <f t="shared" ref="F1474:F1537" si="47">PROPER(E1474)</f>
        <v>Mobile</v>
      </c>
      <c r="G1474">
        <v>7</v>
      </c>
      <c r="H1474">
        <v>0</v>
      </c>
      <c r="I1474">
        <v>0</v>
      </c>
    </row>
    <row r="1475" spans="1:9">
      <c r="A1475" t="s">
        <v>1493</v>
      </c>
      <c r="B1475" t="s">
        <v>8</v>
      </c>
      <c r="C1475" t="str">
        <f t="shared" si="46"/>
        <v>A</v>
      </c>
      <c r="D1475" t="s">
        <v>9</v>
      </c>
      <c r="E1475" t="s">
        <v>10</v>
      </c>
      <c r="F1475" t="str">
        <f t="shared" si="47"/>
        <v>Mobile</v>
      </c>
      <c r="G1475">
        <v>6</v>
      </c>
      <c r="H1475">
        <v>0</v>
      </c>
      <c r="I1475">
        <v>0</v>
      </c>
    </row>
    <row r="1476" spans="1:9">
      <c r="A1476" t="s">
        <v>1494</v>
      </c>
      <c r="B1476" t="s">
        <v>8</v>
      </c>
      <c r="C1476" t="str">
        <f t="shared" si="46"/>
        <v>A</v>
      </c>
      <c r="D1476" t="s">
        <v>18</v>
      </c>
      <c r="E1476" t="s">
        <v>10</v>
      </c>
      <c r="F1476" t="str">
        <f t="shared" si="47"/>
        <v>Mobile</v>
      </c>
      <c r="G1476">
        <v>7</v>
      </c>
      <c r="H1476">
        <v>0</v>
      </c>
      <c r="I1476">
        <v>0</v>
      </c>
    </row>
    <row r="1477" spans="1:9">
      <c r="A1477" t="s">
        <v>1495</v>
      </c>
      <c r="B1477" t="s">
        <v>8</v>
      </c>
      <c r="C1477" t="str">
        <f t="shared" si="46"/>
        <v>A</v>
      </c>
      <c r="D1477" t="s">
        <v>20</v>
      </c>
      <c r="E1477" t="s">
        <v>33</v>
      </c>
      <c r="F1477" t="str">
        <f t="shared" si="47"/>
        <v>Desktop</v>
      </c>
      <c r="G1477">
        <v>6</v>
      </c>
      <c r="H1477">
        <v>0</v>
      </c>
      <c r="I1477">
        <v>0</v>
      </c>
    </row>
    <row r="1478" spans="1:9">
      <c r="A1478" t="s">
        <v>1496</v>
      </c>
      <c r="B1478" t="s">
        <v>15</v>
      </c>
      <c r="C1478" t="str">
        <f t="shared" si="46"/>
        <v>B</v>
      </c>
      <c r="D1478" t="s">
        <v>13</v>
      </c>
      <c r="E1478" t="s">
        <v>10</v>
      </c>
      <c r="F1478" t="str">
        <f t="shared" si="47"/>
        <v>Mobile</v>
      </c>
      <c r="G1478">
        <v>11</v>
      </c>
      <c r="H1478">
        <v>0</v>
      </c>
      <c r="I1478">
        <v>0</v>
      </c>
    </row>
    <row r="1479" spans="1:9">
      <c r="A1479" t="s">
        <v>1497</v>
      </c>
      <c r="B1479" t="s">
        <v>8</v>
      </c>
      <c r="C1479" t="str">
        <f t="shared" si="46"/>
        <v>A</v>
      </c>
      <c r="D1479" t="s">
        <v>20</v>
      </c>
      <c r="E1479" t="s">
        <v>10</v>
      </c>
      <c r="F1479" t="str">
        <f t="shared" si="47"/>
        <v>Mobile</v>
      </c>
      <c r="G1479">
        <v>6</v>
      </c>
      <c r="H1479">
        <v>0</v>
      </c>
      <c r="I1479">
        <v>0</v>
      </c>
    </row>
    <row r="1480" spans="1:9">
      <c r="A1480" t="s">
        <v>1498</v>
      </c>
      <c r="B1480" t="s">
        <v>8</v>
      </c>
      <c r="C1480" t="str">
        <f t="shared" si="46"/>
        <v>A</v>
      </c>
      <c r="D1480" t="s">
        <v>9</v>
      </c>
      <c r="E1480" t="s">
        <v>23</v>
      </c>
      <c r="F1480" t="str">
        <f t="shared" si="47"/>
        <v>Desktop</v>
      </c>
      <c r="G1480">
        <v>7</v>
      </c>
      <c r="H1480">
        <v>0</v>
      </c>
      <c r="I1480">
        <v>0</v>
      </c>
    </row>
    <row r="1481" spans="1:9">
      <c r="A1481" t="s">
        <v>1499</v>
      </c>
      <c r="B1481" t="s">
        <v>8</v>
      </c>
      <c r="C1481" t="str">
        <f t="shared" si="46"/>
        <v>A</v>
      </c>
      <c r="D1481" t="s">
        <v>20</v>
      </c>
      <c r="E1481" t="s">
        <v>23</v>
      </c>
      <c r="F1481" t="str">
        <f t="shared" si="47"/>
        <v>Desktop</v>
      </c>
      <c r="G1481">
        <v>2</v>
      </c>
      <c r="H1481">
        <v>0</v>
      </c>
      <c r="I1481">
        <v>0</v>
      </c>
    </row>
    <row r="1482" spans="1:9">
      <c r="A1482" t="s">
        <v>1500</v>
      </c>
      <c r="B1482" t="s">
        <v>8</v>
      </c>
      <c r="C1482" t="str">
        <f t="shared" si="46"/>
        <v>A</v>
      </c>
      <c r="D1482" t="s">
        <v>20</v>
      </c>
      <c r="E1482" t="s">
        <v>10</v>
      </c>
      <c r="F1482" t="str">
        <f t="shared" si="47"/>
        <v>Mobile</v>
      </c>
      <c r="G1482">
        <v>6</v>
      </c>
      <c r="H1482">
        <v>0</v>
      </c>
      <c r="I1482">
        <v>0</v>
      </c>
    </row>
    <row r="1483" spans="1:9">
      <c r="A1483" t="s">
        <v>1501</v>
      </c>
      <c r="B1483" t="s">
        <v>8</v>
      </c>
      <c r="C1483" t="str">
        <f t="shared" si="46"/>
        <v>A</v>
      </c>
      <c r="D1483" t="s">
        <v>13</v>
      </c>
      <c r="E1483" t="s">
        <v>10</v>
      </c>
      <c r="F1483" t="str">
        <f t="shared" si="47"/>
        <v>Mobile</v>
      </c>
      <c r="G1483">
        <v>5</v>
      </c>
      <c r="H1483">
        <v>0</v>
      </c>
      <c r="I1483">
        <v>0</v>
      </c>
    </row>
    <row r="1484" spans="1:9">
      <c r="A1484" t="s">
        <v>1502</v>
      </c>
      <c r="B1484" t="s">
        <v>8</v>
      </c>
      <c r="C1484" t="str">
        <f t="shared" si="46"/>
        <v>A</v>
      </c>
      <c r="D1484" t="s">
        <v>20</v>
      </c>
      <c r="E1484" t="s">
        <v>10</v>
      </c>
      <c r="F1484" t="str">
        <f t="shared" si="47"/>
        <v>Mobile</v>
      </c>
      <c r="G1484">
        <v>6</v>
      </c>
      <c r="H1484">
        <v>0</v>
      </c>
      <c r="I1484">
        <v>0</v>
      </c>
    </row>
    <row r="1485" spans="1:9">
      <c r="A1485" t="s">
        <v>1503</v>
      </c>
      <c r="B1485" t="s">
        <v>15</v>
      </c>
      <c r="C1485" t="str">
        <f t="shared" si="46"/>
        <v>B</v>
      </c>
      <c r="D1485" t="s">
        <v>13</v>
      </c>
      <c r="E1485" t="s">
        <v>33</v>
      </c>
      <c r="F1485" t="str">
        <f t="shared" si="47"/>
        <v>Desktop</v>
      </c>
      <c r="G1485">
        <v>6</v>
      </c>
      <c r="H1485">
        <v>0</v>
      </c>
      <c r="I1485">
        <v>0</v>
      </c>
    </row>
    <row r="1486" spans="1:9">
      <c r="A1486" t="s">
        <v>1504</v>
      </c>
      <c r="B1486" t="s">
        <v>15</v>
      </c>
      <c r="C1486" t="str">
        <f t="shared" si="46"/>
        <v>B</v>
      </c>
      <c r="D1486" t="s">
        <v>13</v>
      </c>
      <c r="E1486" t="s">
        <v>10</v>
      </c>
      <c r="F1486" t="str">
        <f t="shared" si="47"/>
        <v>Mobile</v>
      </c>
      <c r="G1486">
        <v>6</v>
      </c>
      <c r="H1486">
        <v>0</v>
      </c>
      <c r="I1486">
        <v>0</v>
      </c>
    </row>
    <row r="1487" spans="1:9">
      <c r="A1487" t="s">
        <v>1505</v>
      </c>
      <c r="B1487" t="s">
        <v>15</v>
      </c>
      <c r="C1487" t="str">
        <f t="shared" si="46"/>
        <v>B</v>
      </c>
      <c r="D1487" t="s">
        <v>20</v>
      </c>
      <c r="E1487" t="s">
        <v>10</v>
      </c>
      <c r="F1487" t="str">
        <f t="shared" si="47"/>
        <v>Mobile</v>
      </c>
      <c r="G1487">
        <v>10</v>
      </c>
      <c r="H1487">
        <v>1</v>
      </c>
      <c r="I1487">
        <v>1375.52</v>
      </c>
    </row>
    <row r="1488" spans="1:9">
      <c r="A1488" t="s">
        <v>1506</v>
      </c>
      <c r="B1488" t="s">
        <v>15</v>
      </c>
      <c r="C1488" t="str">
        <f t="shared" si="46"/>
        <v>B</v>
      </c>
      <c r="D1488" t="s">
        <v>20</v>
      </c>
      <c r="E1488" t="s">
        <v>10</v>
      </c>
      <c r="F1488" t="str">
        <f t="shared" si="47"/>
        <v>Mobile</v>
      </c>
      <c r="G1488">
        <v>9</v>
      </c>
      <c r="H1488">
        <v>0</v>
      </c>
      <c r="I1488">
        <v>0</v>
      </c>
    </row>
    <row r="1489" spans="1:9">
      <c r="A1489" t="s">
        <v>1507</v>
      </c>
      <c r="B1489" t="s">
        <v>8</v>
      </c>
      <c r="C1489" t="str">
        <f t="shared" si="46"/>
        <v>A</v>
      </c>
      <c r="D1489" t="s">
        <v>13</v>
      </c>
      <c r="E1489" t="s">
        <v>10</v>
      </c>
      <c r="F1489" t="str">
        <f t="shared" si="47"/>
        <v>Mobile</v>
      </c>
      <c r="G1489">
        <v>7</v>
      </c>
      <c r="H1489">
        <v>0</v>
      </c>
      <c r="I1489">
        <v>0</v>
      </c>
    </row>
    <row r="1490" spans="1:9">
      <c r="A1490" t="s">
        <v>1508</v>
      </c>
      <c r="B1490" t="s">
        <v>15</v>
      </c>
      <c r="C1490" t="str">
        <f t="shared" si="46"/>
        <v>B</v>
      </c>
      <c r="D1490" t="s">
        <v>20</v>
      </c>
      <c r="E1490" t="s">
        <v>23</v>
      </c>
      <c r="F1490" t="str">
        <f t="shared" si="47"/>
        <v>Desktop</v>
      </c>
      <c r="G1490">
        <v>13</v>
      </c>
      <c r="H1490">
        <v>0</v>
      </c>
      <c r="I1490">
        <v>0</v>
      </c>
    </row>
    <row r="1491" spans="1:9">
      <c r="A1491" t="s">
        <v>1509</v>
      </c>
      <c r="B1491" t="s">
        <v>15</v>
      </c>
      <c r="C1491" t="str">
        <f t="shared" si="46"/>
        <v>B</v>
      </c>
      <c r="D1491" t="s">
        <v>13</v>
      </c>
      <c r="E1491" t="s">
        <v>10</v>
      </c>
      <c r="F1491" t="str">
        <f t="shared" si="47"/>
        <v>Mobile</v>
      </c>
      <c r="G1491">
        <v>6</v>
      </c>
      <c r="H1491">
        <v>0</v>
      </c>
      <c r="I1491">
        <v>0</v>
      </c>
    </row>
    <row r="1492" spans="1:9">
      <c r="A1492" t="s">
        <v>1510</v>
      </c>
      <c r="B1492" t="s">
        <v>15</v>
      </c>
      <c r="C1492" t="str">
        <f t="shared" si="46"/>
        <v>B</v>
      </c>
      <c r="D1492" t="s">
        <v>9</v>
      </c>
      <c r="E1492" t="s">
        <v>10</v>
      </c>
      <c r="F1492" t="str">
        <f t="shared" si="47"/>
        <v>Mobile</v>
      </c>
      <c r="G1492">
        <v>5</v>
      </c>
      <c r="H1492">
        <v>0</v>
      </c>
      <c r="I1492">
        <v>0</v>
      </c>
    </row>
    <row r="1493" spans="1:9">
      <c r="A1493" t="s">
        <v>1511</v>
      </c>
      <c r="B1493" t="s">
        <v>8</v>
      </c>
      <c r="C1493" t="str">
        <f t="shared" si="46"/>
        <v>A</v>
      </c>
      <c r="D1493" t="s">
        <v>13</v>
      </c>
      <c r="E1493" t="s">
        <v>10</v>
      </c>
      <c r="F1493" t="str">
        <f t="shared" si="47"/>
        <v>Mobile</v>
      </c>
      <c r="G1493">
        <v>6</v>
      </c>
      <c r="H1493">
        <v>1</v>
      </c>
      <c r="I1493">
        <v>2303.9699999999998</v>
      </c>
    </row>
    <row r="1494" spans="1:9">
      <c r="A1494" t="s">
        <v>1512</v>
      </c>
      <c r="B1494" t="s">
        <v>8</v>
      </c>
      <c r="C1494" t="str">
        <f t="shared" si="46"/>
        <v>A</v>
      </c>
      <c r="D1494" t="s">
        <v>20</v>
      </c>
      <c r="E1494" t="s">
        <v>10</v>
      </c>
      <c r="F1494" t="str">
        <f t="shared" si="47"/>
        <v>Mobile</v>
      </c>
      <c r="G1494">
        <v>13</v>
      </c>
      <c r="H1494">
        <v>0</v>
      </c>
      <c r="I1494">
        <v>0</v>
      </c>
    </row>
    <row r="1495" spans="1:9">
      <c r="A1495" t="s">
        <v>1513</v>
      </c>
      <c r="B1495" t="s">
        <v>8</v>
      </c>
      <c r="C1495" t="str">
        <f t="shared" si="46"/>
        <v>A</v>
      </c>
      <c r="D1495" t="s">
        <v>20</v>
      </c>
      <c r="E1495" t="s">
        <v>10</v>
      </c>
      <c r="F1495" t="str">
        <f t="shared" si="47"/>
        <v>Mobile</v>
      </c>
      <c r="G1495">
        <v>5</v>
      </c>
      <c r="H1495">
        <v>0</v>
      </c>
      <c r="I1495">
        <v>0</v>
      </c>
    </row>
    <row r="1496" spans="1:9">
      <c r="A1496" t="s">
        <v>1514</v>
      </c>
      <c r="B1496" t="s">
        <v>8</v>
      </c>
      <c r="C1496" t="str">
        <f t="shared" si="46"/>
        <v>A</v>
      </c>
      <c r="D1496" t="s">
        <v>20</v>
      </c>
      <c r="E1496" t="s">
        <v>23</v>
      </c>
      <c r="F1496" t="str">
        <f t="shared" si="47"/>
        <v>Desktop</v>
      </c>
      <c r="G1496">
        <v>8</v>
      </c>
      <c r="H1496">
        <v>0</v>
      </c>
      <c r="I1496">
        <v>0</v>
      </c>
    </row>
    <row r="1497" spans="1:9">
      <c r="A1497" t="s">
        <v>1515</v>
      </c>
      <c r="B1497" t="s">
        <v>15</v>
      </c>
      <c r="C1497" t="str">
        <f t="shared" si="46"/>
        <v>B</v>
      </c>
      <c r="D1497" t="s">
        <v>20</v>
      </c>
      <c r="E1497" t="s">
        <v>23</v>
      </c>
      <c r="F1497" t="str">
        <f t="shared" si="47"/>
        <v>Desktop</v>
      </c>
      <c r="G1497">
        <v>6</v>
      </c>
      <c r="H1497">
        <v>0</v>
      </c>
      <c r="I1497">
        <v>0</v>
      </c>
    </row>
    <row r="1498" spans="1:9">
      <c r="A1498" t="s">
        <v>1516</v>
      </c>
      <c r="B1498" t="s">
        <v>15</v>
      </c>
      <c r="C1498" t="str">
        <f t="shared" si="46"/>
        <v>B</v>
      </c>
      <c r="D1498" t="s">
        <v>20</v>
      </c>
      <c r="E1498" t="s">
        <v>33</v>
      </c>
      <c r="F1498" t="str">
        <f t="shared" si="47"/>
        <v>Desktop</v>
      </c>
      <c r="G1498">
        <v>3</v>
      </c>
      <c r="H1498">
        <v>0</v>
      </c>
      <c r="I1498">
        <v>0</v>
      </c>
    </row>
    <row r="1499" spans="1:9">
      <c r="A1499" t="s">
        <v>1517</v>
      </c>
      <c r="B1499" t="s">
        <v>15</v>
      </c>
      <c r="C1499" t="str">
        <f t="shared" si="46"/>
        <v>B</v>
      </c>
      <c r="D1499" t="s">
        <v>13</v>
      </c>
      <c r="E1499" t="s">
        <v>16</v>
      </c>
      <c r="F1499" t="str">
        <f t="shared" si="47"/>
        <v>Mobile</v>
      </c>
      <c r="G1499">
        <v>3</v>
      </c>
      <c r="H1499">
        <v>0</v>
      </c>
      <c r="I1499">
        <v>0</v>
      </c>
    </row>
    <row r="1500" spans="1:9">
      <c r="A1500" t="s">
        <v>1518</v>
      </c>
      <c r="B1500" t="s">
        <v>15</v>
      </c>
      <c r="C1500" t="str">
        <f t="shared" si="46"/>
        <v>B</v>
      </c>
      <c r="D1500" t="s">
        <v>20</v>
      </c>
      <c r="E1500" t="s">
        <v>23</v>
      </c>
      <c r="F1500" t="str">
        <f t="shared" si="47"/>
        <v>Desktop</v>
      </c>
      <c r="G1500">
        <v>4</v>
      </c>
      <c r="H1500">
        <v>0</v>
      </c>
      <c r="I1500">
        <v>0</v>
      </c>
    </row>
    <row r="1501" spans="1:9">
      <c r="A1501" t="s">
        <v>1519</v>
      </c>
      <c r="B1501" t="s">
        <v>15</v>
      </c>
      <c r="C1501" t="str">
        <f t="shared" si="46"/>
        <v>B</v>
      </c>
      <c r="D1501" t="s">
        <v>20</v>
      </c>
      <c r="E1501" t="s">
        <v>10</v>
      </c>
      <c r="F1501" t="str">
        <f t="shared" si="47"/>
        <v>Mobile</v>
      </c>
      <c r="G1501">
        <v>2</v>
      </c>
      <c r="H1501">
        <v>0</v>
      </c>
      <c r="I1501">
        <v>0</v>
      </c>
    </row>
    <row r="1502" spans="1:9">
      <c r="A1502" t="s">
        <v>1520</v>
      </c>
      <c r="B1502" t="s">
        <v>15</v>
      </c>
      <c r="C1502" t="str">
        <f t="shared" si="46"/>
        <v>B</v>
      </c>
      <c r="D1502" t="s">
        <v>20</v>
      </c>
      <c r="E1502" t="s">
        <v>23</v>
      </c>
      <c r="F1502" t="str">
        <f t="shared" si="47"/>
        <v>Desktop</v>
      </c>
      <c r="G1502">
        <v>7</v>
      </c>
      <c r="H1502">
        <v>1</v>
      </c>
      <c r="I1502">
        <v>1481.06</v>
      </c>
    </row>
    <row r="1503" spans="1:9">
      <c r="A1503" t="s">
        <v>1521</v>
      </c>
      <c r="B1503" t="s">
        <v>12</v>
      </c>
      <c r="C1503" t="str">
        <f t="shared" si="46"/>
        <v>A</v>
      </c>
      <c r="D1503" t="s">
        <v>13</v>
      </c>
      <c r="E1503" t="s">
        <v>16</v>
      </c>
      <c r="F1503" t="str">
        <f t="shared" si="47"/>
        <v>Mobile</v>
      </c>
      <c r="G1503">
        <v>10</v>
      </c>
      <c r="H1503">
        <v>0</v>
      </c>
      <c r="I1503">
        <v>0</v>
      </c>
    </row>
    <row r="1504" spans="1:9">
      <c r="A1504" t="s">
        <v>1522</v>
      </c>
      <c r="B1504" t="s">
        <v>8</v>
      </c>
      <c r="C1504" t="str">
        <f t="shared" si="46"/>
        <v>A</v>
      </c>
      <c r="D1504" t="s">
        <v>20</v>
      </c>
      <c r="E1504" t="s">
        <v>23</v>
      </c>
      <c r="F1504" t="str">
        <f t="shared" si="47"/>
        <v>Desktop</v>
      </c>
      <c r="G1504">
        <v>9</v>
      </c>
      <c r="H1504">
        <v>0</v>
      </c>
      <c r="I1504">
        <v>0</v>
      </c>
    </row>
    <row r="1505" spans="1:9">
      <c r="A1505" t="s">
        <v>1523</v>
      </c>
      <c r="B1505" t="s">
        <v>8</v>
      </c>
      <c r="C1505" t="str">
        <f t="shared" si="46"/>
        <v>A</v>
      </c>
      <c r="D1505" t="s">
        <v>13</v>
      </c>
      <c r="E1505" t="s">
        <v>10</v>
      </c>
      <c r="F1505" t="str">
        <f t="shared" si="47"/>
        <v>Mobile</v>
      </c>
      <c r="G1505">
        <v>5</v>
      </c>
      <c r="H1505">
        <v>0</v>
      </c>
      <c r="I1505">
        <v>0</v>
      </c>
    </row>
    <row r="1506" spans="1:9">
      <c r="A1506" t="s">
        <v>1524</v>
      </c>
      <c r="B1506" t="s">
        <v>8</v>
      </c>
      <c r="C1506" t="str">
        <f t="shared" si="46"/>
        <v>A</v>
      </c>
      <c r="D1506" t="s">
        <v>20</v>
      </c>
      <c r="E1506" t="s">
        <v>10</v>
      </c>
      <c r="F1506" t="str">
        <f t="shared" si="47"/>
        <v>Mobile</v>
      </c>
      <c r="G1506">
        <v>8</v>
      </c>
      <c r="H1506">
        <v>0</v>
      </c>
      <c r="I1506">
        <v>0</v>
      </c>
    </row>
    <row r="1507" spans="1:9">
      <c r="A1507" t="s">
        <v>1525</v>
      </c>
      <c r="B1507" t="s">
        <v>15</v>
      </c>
      <c r="C1507" t="str">
        <f t="shared" si="46"/>
        <v>B</v>
      </c>
      <c r="D1507" t="s">
        <v>9</v>
      </c>
      <c r="E1507" t="s">
        <v>16</v>
      </c>
      <c r="F1507" t="str">
        <f t="shared" si="47"/>
        <v>Mobile</v>
      </c>
      <c r="G1507">
        <v>3</v>
      </c>
      <c r="H1507">
        <v>0</v>
      </c>
      <c r="I1507">
        <v>0</v>
      </c>
    </row>
    <row r="1508" spans="1:9">
      <c r="A1508" t="s">
        <v>1526</v>
      </c>
      <c r="B1508" t="s">
        <v>15</v>
      </c>
      <c r="C1508" t="str">
        <f t="shared" si="46"/>
        <v>B</v>
      </c>
      <c r="D1508" t="s">
        <v>9</v>
      </c>
      <c r="E1508" t="s">
        <v>23</v>
      </c>
      <c r="F1508" t="str">
        <f t="shared" si="47"/>
        <v>Desktop</v>
      </c>
      <c r="G1508">
        <v>11</v>
      </c>
      <c r="H1508">
        <v>0</v>
      </c>
      <c r="I1508">
        <v>0</v>
      </c>
    </row>
    <row r="1509" spans="1:9">
      <c r="A1509" t="s">
        <v>1527</v>
      </c>
      <c r="B1509" t="s">
        <v>8</v>
      </c>
      <c r="C1509" t="str">
        <f t="shared" si="46"/>
        <v>A</v>
      </c>
      <c r="D1509" t="s">
        <v>20</v>
      </c>
      <c r="E1509" t="s">
        <v>83</v>
      </c>
      <c r="F1509" t="str">
        <f t="shared" si="47"/>
        <v>Tablet</v>
      </c>
      <c r="G1509">
        <v>6</v>
      </c>
      <c r="H1509">
        <v>0</v>
      </c>
      <c r="I1509">
        <v>0</v>
      </c>
    </row>
    <row r="1510" spans="1:9">
      <c r="A1510" t="s">
        <v>1528</v>
      </c>
      <c r="B1510" t="s">
        <v>12</v>
      </c>
      <c r="C1510" t="str">
        <f t="shared" si="46"/>
        <v>A</v>
      </c>
      <c r="D1510" t="s">
        <v>20</v>
      </c>
      <c r="E1510" t="s">
        <v>10</v>
      </c>
      <c r="F1510" t="str">
        <f t="shared" si="47"/>
        <v>Mobile</v>
      </c>
      <c r="G1510">
        <v>3</v>
      </c>
      <c r="H1510">
        <v>0</v>
      </c>
      <c r="I1510">
        <v>0</v>
      </c>
    </row>
    <row r="1511" spans="1:9">
      <c r="A1511" t="s">
        <v>1529</v>
      </c>
      <c r="B1511" t="s">
        <v>8</v>
      </c>
      <c r="C1511" t="str">
        <f t="shared" si="46"/>
        <v>A</v>
      </c>
      <c r="D1511" t="s">
        <v>20</v>
      </c>
      <c r="E1511" t="s">
        <v>10</v>
      </c>
      <c r="F1511" t="str">
        <f t="shared" si="47"/>
        <v>Mobile</v>
      </c>
      <c r="G1511">
        <v>2</v>
      </c>
      <c r="H1511">
        <v>0</v>
      </c>
      <c r="I1511">
        <v>0</v>
      </c>
    </row>
    <row r="1512" spans="1:9">
      <c r="A1512" t="s">
        <v>1530</v>
      </c>
      <c r="B1512" t="s">
        <v>12</v>
      </c>
      <c r="C1512" t="str">
        <f t="shared" si="46"/>
        <v>A</v>
      </c>
      <c r="D1512" t="s">
        <v>20</v>
      </c>
      <c r="E1512" t="s">
        <v>10</v>
      </c>
      <c r="F1512" t="str">
        <f t="shared" si="47"/>
        <v>Mobile</v>
      </c>
      <c r="G1512">
        <v>6</v>
      </c>
      <c r="H1512">
        <v>0</v>
      </c>
      <c r="I1512">
        <v>0</v>
      </c>
    </row>
    <row r="1513" spans="1:9">
      <c r="A1513" t="s">
        <v>1531</v>
      </c>
      <c r="B1513" t="s">
        <v>8</v>
      </c>
      <c r="C1513" t="str">
        <f t="shared" si="46"/>
        <v>A</v>
      </c>
      <c r="D1513" t="s">
        <v>13</v>
      </c>
      <c r="E1513" t="s">
        <v>23</v>
      </c>
      <c r="F1513" t="str">
        <f t="shared" si="47"/>
        <v>Desktop</v>
      </c>
      <c r="G1513">
        <v>10</v>
      </c>
      <c r="H1513">
        <v>0</v>
      </c>
      <c r="I1513">
        <v>0</v>
      </c>
    </row>
    <row r="1514" spans="1:9">
      <c r="A1514" t="s">
        <v>1532</v>
      </c>
      <c r="B1514" t="s">
        <v>8</v>
      </c>
      <c r="C1514" t="str">
        <f t="shared" si="46"/>
        <v>A</v>
      </c>
      <c r="D1514" t="s">
        <v>9</v>
      </c>
      <c r="E1514" t="s">
        <v>10</v>
      </c>
      <c r="F1514" t="str">
        <f t="shared" si="47"/>
        <v>Mobile</v>
      </c>
      <c r="G1514">
        <v>7</v>
      </c>
      <c r="H1514">
        <v>1</v>
      </c>
      <c r="I1514">
        <v>5054.3500000000004</v>
      </c>
    </row>
    <row r="1515" spans="1:9">
      <c r="A1515" t="s">
        <v>1533</v>
      </c>
      <c r="B1515" t="s">
        <v>15</v>
      </c>
      <c r="C1515" t="str">
        <f t="shared" si="46"/>
        <v>B</v>
      </c>
      <c r="D1515" t="s">
        <v>13</v>
      </c>
      <c r="E1515" t="s">
        <v>10</v>
      </c>
      <c r="F1515" t="str">
        <f t="shared" si="47"/>
        <v>Mobile</v>
      </c>
      <c r="G1515">
        <v>5</v>
      </c>
      <c r="H1515">
        <v>1</v>
      </c>
      <c r="I1515">
        <v>2424.9899999999998</v>
      </c>
    </row>
    <row r="1516" spans="1:9">
      <c r="A1516" t="s">
        <v>1534</v>
      </c>
      <c r="B1516" t="s">
        <v>8</v>
      </c>
      <c r="C1516" t="str">
        <f t="shared" si="46"/>
        <v>A</v>
      </c>
      <c r="D1516" t="s">
        <v>9</v>
      </c>
      <c r="E1516" t="s">
        <v>83</v>
      </c>
      <c r="F1516" t="str">
        <f t="shared" si="47"/>
        <v>Tablet</v>
      </c>
      <c r="G1516">
        <v>10</v>
      </c>
      <c r="H1516">
        <v>0</v>
      </c>
      <c r="I1516">
        <v>0</v>
      </c>
    </row>
    <row r="1517" spans="1:9">
      <c r="A1517" t="s">
        <v>1535</v>
      </c>
      <c r="B1517" t="s">
        <v>8</v>
      </c>
      <c r="C1517" t="str">
        <f t="shared" si="46"/>
        <v>A</v>
      </c>
      <c r="D1517" t="s">
        <v>20</v>
      </c>
      <c r="E1517" t="s">
        <v>10</v>
      </c>
      <c r="F1517" t="str">
        <f t="shared" si="47"/>
        <v>Mobile</v>
      </c>
      <c r="G1517">
        <v>5</v>
      </c>
      <c r="H1517">
        <v>0</v>
      </c>
      <c r="I1517">
        <v>0</v>
      </c>
    </row>
    <row r="1518" spans="1:9">
      <c r="A1518" t="s">
        <v>1536</v>
      </c>
      <c r="B1518" t="s">
        <v>8</v>
      </c>
      <c r="C1518" t="str">
        <f t="shared" si="46"/>
        <v>A</v>
      </c>
      <c r="D1518" t="s">
        <v>20</v>
      </c>
      <c r="E1518" t="s">
        <v>16</v>
      </c>
      <c r="F1518" t="str">
        <f t="shared" si="47"/>
        <v>Mobile</v>
      </c>
      <c r="G1518">
        <v>3</v>
      </c>
      <c r="H1518">
        <v>0</v>
      </c>
      <c r="I1518">
        <v>0</v>
      </c>
    </row>
    <row r="1519" spans="1:9">
      <c r="A1519" t="s">
        <v>1537</v>
      </c>
      <c r="B1519" t="s">
        <v>15</v>
      </c>
      <c r="C1519" t="str">
        <f t="shared" si="46"/>
        <v>B</v>
      </c>
      <c r="D1519" t="s">
        <v>13</v>
      </c>
      <c r="E1519" t="s">
        <v>10</v>
      </c>
      <c r="F1519" t="str">
        <f t="shared" si="47"/>
        <v>Mobile</v>
      </c>
      <c r="G1519">
        <v>3</v>
      </c>
      <c r="H1519">
        <v>0</v>
      </c>
      <c r="I1519">
        <v>0</v>
      </c>
    </row>
    <row r="1520" spans="1:9">
      <c r="A1520" t="s">
        <v>1538</v>
      </c>
      <c r="B1520" t="s">
        <v>15</v>
      </c>
      <c r="C1520" t="str">
        <f t="shared" si="46"/>
        <v>B</v>
      </c>
      <c r="D1520" t="s">
        <v>20</v>
      </c>
      <c r="E1520" t="s">
        <v>16</v>
      </c>
      <c r="F1520" t="str">
        <f t="shared" si="47"/>
        <v>Mobile</v>
      </c>
      <c r="G1520">
        <v>4</v>
      </c>
      <c r="H1520">
        <v>1</v>
      </c>
      <c r="I1520">
        <v>1272.78</v>
      </c>
    </row>
    <row r="1521" spans="1:9">
      <c r="A1521" t="s">
        <v>1539</v>
      </c>
      <c r="B1521" t="s">
        <v>8</v>
      </c>
      <c r="C1521" t="str">
        <f t="shared" si="46"/>
        <v>A</v>
      </c>
      <c r="D1521" t="s">
        <v>13</v>
      </c>
      <c r="E1521" t="s">
        <v>23</v>
      </c>
      <c r="F1521" t="str">
        <f t="shared" si="47"/>
        <v>Desktop</v>
      </c>
      <c r="G1521">
        <v>2</v>
      </c>
      <c r="H1521">
        <v>1</v>
      </c>
      <c r="I1521">
        <v>2281.4299999999998</v>
      </c>
    </row>
    <row r="1522" spans="1:9">
      <c r="A1522" t="s">
        <v>1540</v>
      </c>
      <c r="B1522" t="s">
        <v>15</v>
      </c>
      <c r="C1522" t="str">
        <f t="shared" si="46"/>
        <v>B</v>
      </c>
      <c r="D1522" t="s">
        <v>20</v>
      </c>
      <c r="E1522" t="s">
        <v>33</v>
      </c>
      <c r="F1522" t="str">
        <f t="shared" si="47"/>
        <v>Desktop</v>
      </c>
      <c r="G1522">
        <v>5</v>
      </c>
      <c r="H1522">
        <v>0</v>
      </c>
      <c r="I1522">
        <v>0</v>
      </c>
    </row>
    <row r="1523" spans="1:9">
      <c r="A1523" t="s">
        <v>1541</v>
      </c>
      <c r="B1523" t="s">
        <v>15</v>
      </c>
      <c r="C1523" t="str">
        <f t="shared" si="46"/>
        <v>B</v>
      </c>
      <c r="D1523" t="s">
        <v>20</v>
      </c>
      <c r="E1523" t="s">
        <v>33</v>
      </c>
      <c r="F1523" t="str">
        <f t="shared" si="47"/>
        <v>Desktop</v>
      </c>
      <c r="G1523">
        <v>4</v>
      </c>
      <c r="H1523">
        <v>1</v>
      </c>
      <c r="I1523">
        <v>1424.66</v>
      </c>
    </row>
    <row r="1524" spans="1:9">
      <c r="A1524" t="s">
        <v>1542</v>
      </c>
      <c r="B1524" t="s">
        <v>8</v>
      </c>
      <c r="C1524" t="str">
        <f t="shared" si="46"/>
        <v>A</v>
      </c>
      <c r="D1524" t="s">
        <v>18</v>
      </c>
      <c r="E1524" t="s">
        <v>10</v>
      </c>
      <c r="F1524" t="str">
        <f t="shared" si="47"/>
        <v>Mobile</v>
      </c>
      <c r="G1524">
        <v>7</v>
      </c>
      <c r="H1524">
        <v>0</v>
      </c>
      <c r="I1524">
        <v>0</v>
      </c>
    </row>
    <row r="1525" spans="1:9">
      <c r="A1525" t="s">
        <v>1543</v>
      </c>
      <c r="B1525" t="s">
        <v>8</v>
      </c>
      <c r="C1525" t="str">
        <f t="shared" si="46"/>
        <v>A</v>
      </c>
      <c r="D1525" t="s">
        <v>20</v>
      </c>
      <c r="E1525" t="s">
        <v>10</v>
      </c>
      <c r="F1525" t="str">
        <f t="shared" si="47"/>
        <v>Mobile</v>
      </c>
      <c r="G1525">
        <v>7</v>
      </c>
      <c r="H1525">
        <v>1</v>
      </c>
      <c r="I1525">
        <v>817.4</v>
      </c>
    </row>
    <row r="1526" spans="1:9">
      <c r="A1526" t="s">
        <v>1544</v>
      </c>
      <c r="B1526" t="s">
        <v>8</v>
      </c>
      <c r="C1526" t="str">
        <f t="shared" si="46"/>
        <v>A</v>
      </c>
      <c r="D1526" t="s">
        <v>18</v>
      </c>
      <c r="E1526" t="s">
        <v>10</v>
      </c>
      <c r="F1526" t="str">
        <f t="shared" si="47"/>
        <v>Mobile</v>
      </c>
      <c r="G1526">
        <v>7</v>
      </c>
      <c r="H1526">
        <v>0</v>
      </c>
      <c r="I1526">
        <v>0</v>
      </c>
    </row>
    <row r="1527" spans="1:9">
      <c r="A1527" t="s">
        <v>1545</v>
      </c>
      <c r="B1527" t="s">
        <v>8</v>
      </c>
      <c r="C1527" t="str">
        <f t="shared" si="46"/>
        <v>A</v>
      </c>
      <c r="D1527" t="s">
        <v>18</v>
      </c>
      <c r="E1527" t="s">
        <v>23</v>
      </c>
      <c r="F1527" t="str">
        <f t="shared" si="47"/>
        <v>Desktop</v>
      </c>
      <c r="G1527">
        <v>9</v>
      </c>
      <c r="H1527">
        <v>1</v>
      </c>
      <c r="I1527">
        <v>1108.57</v>
      </c>
    </row>
    <row r="1528" spans="1:9">
      <c r="A1528" t="s">
        <v>1546</v>
      </c>
      <c r="B1528" t="s">
        <v>15</v>
      </c>
      <c r="C1528" t="str">
        <f t="shared" si="46"/>
        <v>B</v>
      </c>
      <c r="D1528" t="s">
        <v>9</v>
      </c>
      <c r="E1528" t="s">
        <v>16</v>
      </c>
      <c r="F1528" t="str">
        <f t="shared" si="47"/>
        <v>Mobile</v>
      </c>
      <c r="G1528">
        <v>5</v>
      </c>
      <c r="H1528">
        <v>0</v>
      </c>
      <c r="I1528">
        <v>0</v>
      </c>
    </row>
    <row r="1529" spans="1:9">
      <c r="A1529" t="s">
        <v>1547</v>
      </c>
      <c r="B1529" t="s">
        <v>8</v>
      </c>
      <c r="C1529" t="str">
        <f t="shared" si="46"/>
        <v>A</v>
      </c>
      <c r="D1529" t="s">
        <v>13</v>
      </c>
      <c r="E1529" t="s">
        <v>10</v>
      </c>
      <c r="F1529" t="str">
        <f t="shared" si="47"/>
        <v>Mobile</v>
      </c>
      <c r="G1529">
        <v>9</v>
      </c>
      <c r="H1529">
        <v>0</v>
      </c>
      <c r="I1529">
        <v>0</v>
      </c>
    </row>
    <row r="1530" spans="1:9">
      <c r="A1530" t="s">
        <v>1548</v>
      </c>
      <c r="B1530" t="s">
        <v>15</v>
      </c>
      <c r="C1530" t="str">
        <f t="shared" si="46"/>
        <v>B</v>
      </c>
      <c r="D1530" t="s">
        <v>13</v>
      </c>
      <c r="E1530" t="s">
        <v>23</v>
      </c>
      <c r="F1530" t="str">
        <f t="shared" si="47"/>
        <v>Desktop</v>
      </c>
      <c r="G1530">
        <v>6</v>
      </c>
      <c r="H1530">
        <v>0</v>
      </c>
      <c r="I1530">
        <v>0</v>
      </c>
    </row>
    <row r="1531" spans="1:9">
      <c r="A1531" t="s">
        <v>1549</v>
      </c>
      <c r="B1531" t="s">
        <v>15</v>
      </c>
      <c r="C1531" t="str">
        <f t="shared" si="46"/>
        <v>B</v>
      </c>
      <c r="D1531" t="s">
        <v>9</v>
      </c>
      <c r="E1531" t="s">
        <v>10</v>
      </c>
      <c r="F1531" t="str">
        <f t="shared" si="47"/>
        <v>Mobile</v>
      </c>
      <c r="G1531">
        <v>5</v>
      </c>
      <c r="H1531">
        <v>1</v>
      </c>
      <c r="I1531">
        <v>5708.06</v>
      </c>
    </row>
    <row r="1532" spans="1:9">
      <c r="A1532" t="s">
        <v>1550</v>
      </c>
      <c r="B1532" t="s">
        <v>8</v>
      </c>
      <c r="C1532" t="str">
        <f t="shared" si="46"/>
        <v>A</v>
      </c>
      <c r="D1532" t="s">
        <v>20</v>
      </c>
      <c r="E1532" t="s">
        <v>23</v>
      </c>
      <c r="F1532" t="str">
        <f t="shared" si="47"/>
        <v>Desktop</v>
      </c>
      <c r="G1532">
        <v>6</v>
      </c>
      <c r="H1532">
        <v>0</v>
      </c>
      <c r="I1532">
        <v>0</v>
      </c>
    </row>
    <row r="1533" spans="1:9">
      <c r="A1533" t="s">
        <v>1551</v>
      </c>
      <c r="B1533" t="s">
        <v>15</v>
      </c>
      <c r="C1533" t="str">
        <f t="shared" si="46"/>
        <v>B</v>
      </c>
      <c r="D1533" t="s">
        <v>13</v>
      </c>
      <c r="E1533" t="s">
        <v>33</v>
      </c>
      <c r="F1533" t="str">
        <f t="shared" si="47"/>
        <v>Desktop</v>
      </c>
      <c r="G1533">
        <v>8</v>
      </c>
      <c r="H1533">
        <v>0</v>
      </c>
      <c r="I1533">
        <v>0</v>
      </c>
    </row>
    <row r="1534" spans="1:9">
      <c r="A1534" t="s">
        <v>1552</v>
      </c>
      <c r="B1534" t="s">
        <v>8</v>
      </c>
      <c r="C1534" t="str">
        <f t="shared" si="46"/>
        <v>A</v>
      </c>
      <c r="D1534" t="s">
        <v>13</v>
      </c>
      <c r="E1534" t="s">
        <v>10</v>
      </c>
      <c r="F1534" t="str">
        <f t="shared" si="47"/>
        <v>Mobile</v>
      </c>
      <c r="G1534">
        <v>12</v>
      </c>
      <c r="H1534">
        <v>1</v>
      </c>
      <c r="I1534">
        <v>3118.24</v>
      </c>
    </row>
    <row r="1535" spans="1:9">
      <c r="A1535" t="s">
        <v>1553</v>
      </c>
      <c r="B1535" t="s">
        <v>29</v>
      </c>
      <c r="C1535" t="str">
        <f t="shared" si="46"/>
        <v>B</v>
      </c>
      <c r="D1535" t="s">
        <v>20</v>
      </c>
      <c r="E1535" t="s">
        <v>10</v>
      </c>
      <c r="F1535" t="str">
        <f t="shared" si="47"/>
        <v>Mobile</v>
      </c>
      <c r="G1535">
        <v>4</v>
      </c>
      <c r="H1535">
        <v>0</v>
      </c>
      <c r="I1535">
        <v>0</v>
      </c>
    </row>
    <row r="1536" spans="1:9">
      <c r="A1536" t="s">
        <v>1554</v>
      </c>
      <c r="B1536" t="s">
        <v>15</v>
      </c>
      <c r="C1536" t="str">
        <f t="shared" si="46"/>
        <v>B</v>
      </c>
      <c r="D1536" t="s">
        <v>13</v>
      </c>
      <c r="E1536" t="s">
        <v>10</v>
      </c>
      <c r="F1536" t="str">
        <f t="shared" si="47"/>
        <v>Mobile</v>
      </c>
      <c r="G1536">
        <v>3</v>
      </c>
      <c r="H1536">
        <v>0</v>
      </c>
      <c r="I1536">
        <v>0</v>
      </c>
    </row>
    <row r="1537" spans="1:9">
      <c r="A1537" t="s">
        <v>1555</v>
      </c>
      <c r="B1537" t="s">
        <v>15</v>
      </c>
      <c r="C1537" t="str">
        <f t="shared" si="46"/>
        <v>B</v>
      </c>
      <c r="D1537" t="s">
        <v>20</v>
      </c>
      <c r="E1537" t="s">
        <v>23</v>
      </c>
      <c r="F1537" t="str">
        <f t="shared" si="47"/>
        <v>Desktop</v>
      </c>
      <c r="G1537">
        <v>7</v>
      </c>
      <c r="H1537">
        <v>0</v>
      </c>
      <c r="I1537">
        <v>0</v>
      </c>
    </row>
    <row r="1538" spans="1:9">
      <c r="A1538" t="s">
        <v>1556</v>
      </c>
      <c r="B1538" t="s">
        <v>15</v>
      </c>
      <c r="C1538" t="str">
        <f t="shared" ref="C1538:C1601" si="48">IF(OR(B1538="control", B1538="A"), "A", "B")</f>
        <v>B</v>
      </c>
      <c r="D1538" t="s">
        <v>13</v>
      </c>
      <c r="E1538" t="s">
        <v>10</v>
      </c>
      <c r="F1538" t="str">
        <f t="shared" ref="F1538:F1601" si="49">PROPER(E1538)</f>
        <v>Mobile</v>
      </c>
      <c r="G1538">
        <v>8</v>
      </c>
      <c r="H1538">
        <v>1</v>
      </c>
      <c r="I1538">
        <v>2154.96</v>
      </c>
    </row>
    <row r="1539" spans="1:9">
      <c r="A1539" t="s">
        <v>1557</v>
      </c>
      <c r="B1539" t="s">
        <v>8</v>
      </c>
      <c r="C1539" t="str">
        <f t="shared" si="48"/>
        <v>A</v>
      </c>
      <c r="D1539" t="s">
        <v>9</v>
      </c>
      <c r="E1539" t="s">
        <v>10</v>
      </c>
      <c r="F1539" t="str">
        <f t="shared" si="49"/>
        <v>Mobile</v>
      </c>
      <c r="G1539">
        <v>6</v>
      </c>
      <c r="H1539">
        <v>1</v>
      </c>
      <c r="I1539">
        <v>6151.15</v>
      </c>
    </row>
    <row r="1540" spans="1:9">
      <c r="A1540" t="s">
        <v>1558</v>
      </c>
      <c r="B1540" t="s">
        <v>15</v>
      </c>
      <c r="C1540" t="str">
        <f t="shared" si="48"/>
        <v>B</v>
      </c>
      <c r="D1540" t="s">
        <v>20</v>
      </c>
      <c r="E1540" t="s">
        <v>10</v>
      </c>
      <c r="F1540" t="str">
        <f t="shared" si="49"/>
        <v>Mobile</v>
      </c>
      <c r="G1540">
        <v>6</v>
      </c>
      <c r="H1540">
        <v>0</v>
      </c>
      <c r="I1540">
        <v>0</v>
      </c>
    </row>
    <row r="1541" spans="1:9">
      <c r="A1541" t="s">
        <v>1559</v>
      </c>
      <c r="B1541" t="s">
        <v>12</v>
      </c>
      <c r="C1541" t="str">
        <f t="shared" si="48"/>
        <v>A</v>
      </c>
      <c r="D1541" t="s">
        <v>18</v>
      </c>
      <c r="E1541" t="s">
        <v>10</v>
      </c>
      <c r="F1541" t="str">
        <f t="shared" si="49"/>
        <v>Mobile</v>
      </c>
      <c r="G1541">
        <v>4</v>
      </c>
      <c r="H1541">
        <v>0</v>
      </c>
      <c r="I1541">
        <v>0</v>
      </c>
    </row>
    <row r="1542" spans="1:9">
      <c r="A1542" t="s">
        <v>1560</v>
      </c>
      <c r="B1542" t="s">
        <v>15</v>
      </c>
      <c r="C1542" t="str">
        <f t="shared" si="48"/>
        <v>B</v>
      </c>
      <c r="D1542" t="s">
        <v>13</v>
      </c>
      <c r="E1542" t="s">
        <v>23</v>
      </c>
      <c r="F1542" t="str">
        <f t="shared" si="49"/>
        <v>Desktop</v>
      </c>
      <c r="G1542">
        <v>5</v>
      </c>
      <c r="H1542">
        <v>0</v>
      </c>
      <c r="I1542">
        <v>0</v>
      </c>
    </row>
    <row r="1543" spans="1:9">
      <c r="A1543" t="s">
        <v>1561</v>
      </c>
      <c r="B1543" t="s">
        <v>15</v>
      </c>
      <c r="C1543" t="str">
        <f t="shared" si="48"/>
        <v>B</v>
      </c>
      <c r="D1543" t="s">
        <v>9</v>
      </c>
      <c r="E1543" t="s">
        <v>23</v>
      </c>
      <c r="F1543" t="str">
        <f t="shared" si="49"/>
        <v>Desktop</v>
      </c>
      <c r="G1543">
        <v>15</v>
      </c>
      <c r="H1543">
        <v>0</v>
      </c>
      <c r="I1543">
        <v>0</v>
      </c>
    </row>
    <row r="1544" spans="1:9">
      <c r="A1544" t="s">
        <v>1562</v>
      </c>
      <c r="B1544" t="s">
        <v>15</v>
      </c>
      <c r="C1544" t="str">
        <f t="shared" si="48"/>
        <v>B</v>
      </c>
      <c r="D1544" t="s">
        <v>13</v>
      </c>
      <c r="E1544" t="s">
        <v>10</v>
      </c>
      <c r="F1544" t="str">
        <f t="shared" si="49"/>
        <v>Mobile</v>
      </c>
      <c r="G1544">
        <v>7</v>
      </c>
      <c r="H1544">
        <v>0</v>
      </c>
      <c r="I1544">
        <v>0</v>
      </c>
    </row>
    <row r="1545" spans="1:9">
      <c r="A1545" t="s">
        <v>1563</v>
      </c>
      <c r="B1545" t="s">
        <v>8</v>
      </c>
      <c r="C1545" t="str">
        <f t="shared" si="48"/>
        <v>A</v>
      </c>
      <c r="D1545" t="s">
        <v>9</v>
      </c>
      <c r="E1545" t="s">
        <v>23</v>
      </c>
      <c r="F1545" t="str">
        <f t="shared" si="49"/>
        <v>Desktop</v>
      </c>
      <c r="G1545">
        <v>2</v>
      </c>
      <c r="H1545">
        <v>0</v>
      </c>
      <c r="I1545">
        <v>0</v>
      </c>
    </row>
    <row r="1546" spans="1:9">
      <c r="A1546" t="s">
        <v>1564</v>
      </c>
      <c r="B1546" t="s">
        <v>8</v>
      </c>
      <c r="C1546" t="str">
        <f t="shared" si="48"/>
        <v>A</v>
      </c>
      <c r="D1546" t="s">
        <v>20</v>
      </c>
      <c r="E1546" t="s">
        <v>23</v>
      </c>
      <c r="F1546" t="str">
        <f t="shared" si="49"/>
        <v>Desktop</v>
      </c>
      <c r="G1546">
        <v>3</v>
      </c>
      <c r="H1546">
        <v>0</v>
      </c>
      <c r="I1546">
        <v>0</v>
      </c>
    </row>
    <row r="1547" spans="1:9">
      <c r="A1547" t="s">
        <v>1565</v>
      </c>
      <c r="B1547" t="s">
        <v>15</v>
      </c>
      <c r="C1547" t="str">
        <f t="shared" si="48"/>
        <v>B</v>
      </c>
      <c r="D1547" t="s">
        <v>9</v>
      </c>
      <c r="E1547" t="s">
        <v>10</v>
      </c>
      <c r="F1547" t="str">
        <f t="shared" si="49"/>
        <v>Mobile</v>
      </c>
      <c r="G1547">
        <v>7</v>
      </c>
      <c r="H1547">
        <v>0</v>
      </c>
      <c r="I1547">
        <v>0</v>
      </c>
    </row>
    <row r="1548" spans="1:9">
      <c r="A1548" t="s">
        <v>1566</v>
      </c>
      <c r="B1548" t="s">
        <v>8</v>
      </c>
      <c r="C1548" t="str">
        <f t="shared" si="48"/>
        <v>A</v>
      </c>
      <c r="D1548" t="s">
        <v>20</v>
      </c>
      <c r="E1548" t="s">
        <v>10</v>
      </c>
      <c r="F1548" t="str">
        <f t="shared" si="49"/>
        <v>Mobile</v>
      </c>
      <c r="G1548">
        <v>4</v>
      </c>
      <c r="H1548">
        <v>1</v>
      </c>
      <c r="I1548">
        <v>1494.13</v>
      </c>
    </row>
    <row r="1549" spans="1:9">
      <c r="A1549" t="s">
        <v>1567</v>
      </c>
      <c r="B1549" t="s">
        <v>15</v>
      </c>
      <c r="C1549" t="str">
        <f t="shared" si="48"/>
        <v>B</v>
      </c>
      <c r="D1549" t="s">
        <v>9</v>
      </c>
      <c r="E1549" t="s">
        <v>23</v>
      </c>
      <c r="F1549" t="str">
        <f t="shared" si="49"/>
        <v>Desktop</v>
      </c>
      <c r="G1549">
        <v>5</v>
      </c>
      <c r="H1549">
        <v>0</v>
      </c>
      <c r="I1549">
        <v>0</v>
      </c>
    </row>
    <row r="1550" spans="1:9">
      <c r="A1550" t="s">
        <v>1568</v>
      </c>
      <c r="B1550" t="s">
        <v>15</v>
      </c>
      <c r="C1550" t="str">
        <f t="shared" si="48"/>
        <v>B</v>
      </c>
      <c r="D1550" t="s">
        <v>18</v>
      </c>
      <c r="E1550" t="s">
        <v>33</v>
      </c>
      <c r="F1550" t="str">
        <f t="shared" si="49"/>
        <v>Desktop</v>
      </c>
      <c r="G1550">
        <v>6</v>
      </c>
      <c r="H1550">
        <v>0</v>
      </c>
      <c r="I1550">
        <v>0</v>
      </c>
    </row>
    <row r="1551" spans="1:9">
      <c r="A1551" t="s">
        <v>1569</v>
      </c>
      <c r="B1551" t="s">
        <v>8</v>
      </c>
      <c r="C1551" t="str">
        <f t="shared" si="48"/>
        <v>A</v>
      </c>
      <c r="D1551" t="s">
        <v>20</v>
      </c>
      <c r="E1551" t="s">
        <v>10</v>
      </c>
      <c r="F1551" t="str">
        <f t="shared" si="49"/>
        <v>Mobile</v>
      </c>
      <c r="G1551">
        <v>5</v>
      </c>
      <c r="H1551">
        <v>0</v>
      </c>
      <c r="I1551">
        <v>0</v>
      </c>
    </row>
    <row r="1552" spans="1:9">
      <c r="A1552" t="s">
        <v>1570</v>
      </c>
      <c r="B1552" t="s">
        <v>8</v>
      </c>
      <c r="C1552" t="str">
        <f t="shared" si="48"/>
        <v>A</v>
      </c>
      <c r="D1552" t="s">
        <v>20</v>
      </c>
      <c r="E1552" t="s">
        <v>10</v>
      </c>
      <c r="F1552" t="str">
        <f t="shared" si="49"/>
        <v>Mobile</v>
      </c>
      <c r="G1552">
        <v>8</v>
      </c>
      <c r="H1552">
        <v>0</v>
      </c>
      <c r="I1552">
        <v>0</v>
      </c>
    </row>
    <row r="1553" spans="1:9">
      <c r="A1553" t="s">
        <v>1571</v>
      </c>
      <c r="B1553" t="s">
        <v>15</v>
      </c>
      <c r="C1553" t="str">
        <f t="shared" si="48"/>
        <v>B</v>
      </c>
      <c r="D1553" t="s">
        <v>13</v>
      </c>
      <c r="E1553" t="s">
        <v>10</v>
      </c>
      <c r="F1553" t="str">
        <f t="shared" si="49"/>
        <v>Mobile</v>
      </c>
      <c r="G1553">
        <v>9</v>
      </c>
      <c r="H1553">
        <v>0</v>
      </c>
      <c r="I1553">
        <v>0</v>
      </c>
    </row>
    <row r="1554" spans="1:9">
      <c r="A1554" t="s">
        <v>1572</v>
      </c>
      <c r="B1554" t="s">
        <v>8</v>
      </c>
      <c r="C1554" t="str">
        <f t="shared" si="48"/>
        <v>A</v>
      </c>
      <c r="D1554" t="s">
        <v>20</v>
      </c>
      <c r="E1554" t="s">
        <v>23</v>
      </c>
      <c r="F1554" t="str">
        <f t="shared" si="49"/>
        <v>Desktop</v>
      </c>
      <c r="G1554">
        <v>9</v>
      </c>
      <c r="H1554">
        <v>0</v>
      </c>
      <c r="I1554">
        <v>0</v>
      </c>
    </row>
    <row r="1555" spans="1:9">
      <c r="A1555" t="s">
        <v>1573</v>
      </c>
      <c r="B1555" t="s">
        <v>15</v>
      </c>
      <c r="C1555" t="str">
        <f t="shared" si="48"/>
        <v>B</v>
      </c>
      <c r="D1555" t="s">
        <v>9</v>
      </c>
      <c r="E1555" t="s">
        <v>10</v>
      </c>
      <c r="F1555" t="str">
        <f t="shared" si="49"/>
        <v>Mobile</v>
      </c>
      <c r="G1555">
        <v>5</v>
      </c>
      <c r="H1555">
        <v>0</v>
      </c>
      <c r="I1555">
        <v>0</v>
      </c>
    </row>
    <row r="1556" spans="1:9">
      <c r="A1556" t="s">
        <v>1574</v>
      </c>
      <c r="B1556" t="s">
        <v>8</v>
      </c>
      <c r="C1556" t="str">
        <f t="shared" si="48"/>
        <v>A</v>
      </c>
      <c r="D1556" t="s">
        <v>20</v>
      </c>
      <c r="E1556" t="s">
        <v>10</v>
      </c>
      <c r="F1556" t="str">
        <f t="shared" si="49"/>
        <v>Mobile</v>
      </c>
      <c r="G1556">
        <v>7</v>
      </c>
      <c r="H1556">
        <v>0</v>
      </c>
      <c r="I1556">
        <v>0</v>
      </c>
    </row>
    <row r="1557" spans="1:9">
      <c r="A1557" t="s">
        <v>1575</v>
      </c>
      <c r="B1557" t="s">
        <v>15</v>
      </c>
      <c r="C1557" t="str">
        <f t="shared" si="48"/>
        <v>B</v>
      </c>
      <c r="D1557" t="s">
        <v>20</v>
      </c>
      <c r="E1557" t="s">
        <v>23</v>
      </c>
      <c r="F1557" t="str">
        <f t="shared" si="49"/>
        <v>Desktop</v>
      </c>
      <c r="G1557">
        <v>8</v>
      </c>
      <c r="H1557">
        <v>0</v>
      </c>
      <c r="I1557">
        <v>0</v>
      </c>
    </row>
    <row r="1558" spans="1:9">
      <c r="A1558" t="s">
        <v>1576</v>
      </c>
      <c r="B1558" t="s">
        <v>8</v>
      </c>
      <c r="C1558" t="str">
        <f t="shared" si="48"/>
        <v>A</v>
      </c>
      <c r="D1558" t="s">
        <v>18</v>
      </c>
      <c r="E1558" t="s">
        <v>23</v>
      </c>
      <c r="F1558" t="str">
        <f t="shared" si="49"/>
        <v>Desktop</v>
      </c>
      <c r="G1558">
        <v>6</v>
      </c>
      <c r="H1558">
        <v>1</v>
      </c>
      <c r="I1558">
        <v>1229.3599999999999</v>
      </c>
    </row>
    <row r="1559" spans="1:9">
      <c r="A1559" t="s">
        <v>1577</v>
      </c>
      <c r="B1559" t="s">
        <v>15</v>
      </c>
      <c r="C1559" t="str">
        <f t="shared" si="48"/>
        <v>B</v>
      </c>
      <c r="D1559" t="s">
        <v>13</v>
      </c>
      <c r="E1559" t="s">
        <v>10</v>
      </c>
      <c r="F1559" t="str">
        <f t="shared" si="49"/>
        <v>Mobile</v>
      </c>
      <c r="G1559">
        <v>4</v>
      </c>
      <c r="H1559">
        <v>0</v>
      </c>
      <c r="I1559">
        <v>0</v>
      </c>
    </row>
    <row r="1560" spans="1:9">
      <c r="A1560" t="s">
        <v>1578</v>
      </c>
      <c r="B1560" t="s">
        <v>8</v>
      </c>
      <c r="C1560" t="str">
        <f t="shared" si="48"/>
        <v>A</v>
      </c>
      <c r="D1560" t="s">
        <v>9</v>
      </c>
      <c r="E1560" t="s">
        <v>10</v>
      </c>
      <c r="F1560" t="str">
        <f t="shared" si="49"/>
        <v>Mobile</v>
      </c>
      <c r="G1560">
        <v>9</v>
      </c>
      <c r="H1560">
        <v>0</v>
      </c>
      <c r="I1560">
        <v>0</v>
      </c>
    </row>
    <row r="1561" spans="1:9">
      <c r="A1561" t="s">
        <v>1579</v>
      </c>
      <c r="B1561" t="s">
        <v>15</v>
      </c>
      <c r="C1561" t="str">
        <f t="shared" si="48"/>
        <v>B</v>
      </c>
      <c r="D1561" t="s">
        <v>20</v>
      </c>
      <c r="E1561" t="s">
        <v>23</v>
      </c>
      <c r="F1561" t="str">
        <f t="shared" si="49"/>
        <v>Desktop</v>
      </c>
      <c r="G1561">
        <v>6</v>
      </c>
      <c r="H1561">
        <v>0</v>
      </c>
      <c r="I1561">
        <v>0</v>
      </c>
    </row>
    <row r="1562" spans="1:9">
      <c r="A1562" t="s">
        <v>1580</v>
      </c>
      <c r="B1562" t="s">
        <v>8</v>
      </c>
      <c r="C1562" t="str">
        <f t="shared" si="48"/>
        <v>A</v>
      </c>
      <c r="D1562" t="s">
        <v>13</v>
      </c>
      <c r="E1562" t="s">
        <v>10</v>
      </c>
      <c r="F1562" t="str">
        <f t="shared" si="49"/>
        <v>Mobile</v>
      </c>
      <c r="G1562">
        <v>10</v>
      </c>
      <c r="H1562">
        <v>0</v>
      </c>
      <c r="I1562">
        <v>0</v>
      </c>
    </row>
    <row r="1563" spans="1:9">
      <c r="A1563" t="s">
        <v>1581</v>
      </c>
      <c r="B1563" t="s">
        <v>15</v>
      </c>
      <c r="C1563" t="str">
        <f t="shared" si="48"/>
        <v>B</v>
      </c>
      <c r="D1563" t="s">
        <v>13</v>
      </c>
      <c r="E1563" t="s">
        <v>10</v>
      </c>
      <c r="F1563" t="str">
        <f t="shared" si="49"/>
        <v>Mobile</v>
      </c>
      <c r="G1563">
        <v>6</v>
      </c>
      <c r="H1563">
        <v>0</v>
      </c>
      <c r="I1563">
        <v>0</v>
      </c>
    </row>
    <row r="1564" spans="1:9">
      <c r="A1564" t="s">
        <v>1582</v>
      </c>
      <c r="B1564" t="s">
        <v>15</v>
      </c>
      <c r="C1564" t="str">
        <f t="shared" si="48"/>
        <v>B</v>
      </c>
      <c r="D1564" t="s">
        <v>13</v>
      </c>
      <c r="E1564" t="s">
        <v>16</v>
      </c>
      <c r="F1564" t="str">
        <f t="shared" si="49"/>
        <v>Mobile</v>
      </c>
      <c r="G1564">
        <v>4</v>
      </c>
      <c r="H1564">
        <v>0</v>
      </c>
      <c r="I1564">
        <v>0</v>
      </c>
    </row>
    <row r="1565" spans="1:9">
      <c r="A1565" t="s">
        <v>1583</v>
      </c>
      <c r="B1565" t="s">
        <v>8</v>
      </c>
      <c r="C1565" t="str">
        <f t="shared" si="48"/>
        <v>A</v>
      </c>
      <c r="D1565" t="s">
        <v>13</v>
      </c>
      <c r="E1565" t="s">
        <v>10</v>
      </c>
      <c r="F1565" t="str">
        <f t="shared" si="49"/>
        <v>Mobile</v>
      </c>
      <c r="G1565">
        <v>6</v>
      </c>
      <c r="H1565">
        <v>0</v>
      </c>
      <c r="I1565">
        <v>0</v>
      </c>
    </row>
    <row r="1566" spans="1:9">
      <c r="A1566" t="s">
        <v>1584</v>
      </c>
      <c r="B1566" t="s">
        <v>8</v>
      </c>
      <c r="C1566" t="str">
        <f t="shared" si="48"/>
        <v>A</v>
      </c>
      <c r="D1566" t="s">
        <v>13</v>
      </c>
      <c r="E1566" t="s">
        <v>23</v>
      </c>
      <c r="F1566" t="str">
        <f t="shared" si="49"/>
        <v>Desktop</v>
      </c>
      <c r="G1566">
        <v>6</v>
      </c>
      <c r="H1566">
        <v>0</v>
      </c>
      <c r="I1566">
        <v>0</v>
      </c>
    </row>
    <row r="1567" spans="1:9">
      <c r="A1567" t="s">
        <v>1585</v>
      </c>
      <c r="B1567" t="s">
        <v>8</v>
      </c>
      <c r="C1567" t="str">
        <f t="shared" si="48"/>
        <v>A</v>
      </c>
      <c r="D1567" t="s">
        <v>13</v>
      </c>
      <c r="E1567" t="s">
        <v>33</v>
      </c>
      <c r="F1567" t="str">
        <f t="shared" si="49"/>
        <v>Desktop</v>
      </c>
      <c r="G1567">
        <v>5</v>
      </c>
      <c r="H1567">
        <v>0</v>
      </c>
      <c r="I1567">
        <v>0</v>
      </c>
    </row>
    <row r="1568" spans="1:9">
      <c r="A1568" t="s">
        <v>1586</v>
      </c>
      <c r="B1568" t="s">
        <v>15</v>
      </c>
      <c r="C1568" t="str">
        <f t="shared" si="48"/>
        <v>B</v>
      </c>
      <c r="D1568" t="s">
        <v>20</v>
      </c>
      <c r="E1568" t="s">
        <v>10</v>
      </c>
      <c r="F1568" t="str">
        <f t="shared" si="49"/>
        <v>Mobile</v>
      </c>
      <c r="G1568">
        <v>4</v>
      </c>
      <c r="H1568">
        <v>0</v>
      </c>
      <c r="I1568">
        <v>0</v>
      </c>
    </row>
    <row r="1569" spans="1:9">
      <c r="A1569" t="s">
        <v>1587</v>
      </c>
      <c r="B1569" t="s">
        <v>15</v>
      </c>
      <c r="C1569" t="str">
        <f t="shared" si="48"/>
        <v>B</v>
      </c>
      <c r="D1569" t="s">
        <v>13</v>
      </c>
      <c r="E1569" t="s">
        <v>10</v>
      </c>
      <c r="F1569" t="str">
        <f t="shared" si="49"/>
        <v>Mobile</v>
      </c>
      <c r="G1569">
        <v>5</v>
      </c>
      <c r="H1569">
        <v>0</v>
      </c>
      <c r="I1569">
        <v>0</v>
      </c>
    </row>
    <row r="1570" spans="1:9">
      <c r="A1570" t="s">
        <v>1588</v>
      </c>
      <c r="B1570" t="s">
        <v>15</v>
      </c>
      <c r="C1570" t="str">
        <f t="shared" si="48"/>
        <v>B</v>
      </c>
      <c r="D1570" t="s">
        <v>20</v>
      </c>
      <c r="E1570" t="s">
        <v>23</v>
      </c>
      <c r="F1570" t="str">
        <f t="shared" si="49"/>
        <v>Desktop</v>
      </c>
      <c r="G1570">
        <v>8</v>
      </c>
      <c r="H1570">
        <v>0</v>
      </c>
      <c r="I1570">
        <v>0</v>
      </c>
    </row>
    <row r="1571" spans="1:9">
      <c r="A1571" t="s">
        <v>1589</v>
      </c>
      <c r="B1571" t="s">
        <v>8</v>
      </c>
      <c r="C1571" t="str">
        <f t="shared" si="48"/>
        <v>A</v>
      </c>
      <c r="D1571" t="s">
        <v>13</v>
      </c>
      <c r="E1571" t="s">
        <v>16</v>
      </c>
      <c r="F1571" t="str">
        <f t="shared" si="49"/>
        <v>Mobile</v>
      </c>
      <c r="G1571">
        <v>9</v>
      </c>
      <c r="H1571">
        <v>0</v>
      </c>
      <c r="I1571">
        <v>0</v>
      </c>
    </row>
    <row r="1572" spans="1:9">
      <c r="A1572" t="s">
        <v>1590</v>
      </c>
      <c r="B1572" t="s">
        <v>8</v>
      </c>
      <c r="C1572" t="str">
        <f t="shared" si="48"/>
        <v>A</v>
      </c>
      <c r="D1572" t="s">
        <v>20</v>
      </c>
      <c r="E1572" t="s">
        <v>33</v>
      </c>
      <c r="F1572" t="str">
        <f t="shared" si="49"/>
        <v>Desktop</v>
      </c>
      <c r="G1572">
        <v>8</v>
      </c>
      <c r="H1572">
        <v>0</v>
      </c>
      <c r="I1572">
        <v>0</v>
      </c>
    </row>
    <row r="1573" spans="1:9">
      <c r="A1573" t="s">
        <v>1591</v>
      </c>
      <c r="B1573" t="s">
        <v>15</v>
      </c>
      <c r="C1573" t="str">
        <f t="shared" si="48"/>
        <v>B</v>
      </c>
      <c r="D1573" t="s">
        <v>13</v>
      </c>
      <c r="E1573" t="s">
        <v>23</v>
      </c>
      <c r="F1573" t="str">
        <f t="shared" si="49"/>
        <v>Desktop</v>
      </c>
      <c r="G1573">
        <v>11</v>
      </c>
      <c r="H1573">
        <v>0</v>
      </c>
      <c r="I1573">
        <v>0</v>
      </c>
    </row>
    <row r="1574" spans="1:9">
      <c r="A1574" t="s">
        <v>1592</v>
      </c>
      <c r="B1574" t="s">
        <v>15</v>
      </c>
      <c r="C1574" t="str">
        <f t="shared" si="48"/>
        <v>B</v>
      </c>
      <c r="D1574" t="s">
        <v>13</v>
      </c>
      <c r="E1574" t="s">
        <v>10</v>
      </c>
      <c r="F1574" t="str">
        <f t="shared" si="49"/>
        <v>Mobile</v>
      </c>
      <c r="G1574">
        <v>6</v>
      </c>
      <c r="H1574">
        <v>0</v>
      </c>
      <c r="I1574">
        <v>0</v>
      </c>
    </row>
    <row r="1575" spans="1:9">
      <c r="A1575" t="s">
        <v>1593</v>
      </c>
      <c r="B1575" t="s">
        <v>29</v>
      </c>
      <c r="C1575" t="str">
        <f t="shared" si="48"/>
        <v>B</v>
      </c>
      <c r="D1575" t="s">
        <v>20</v>
      </c>
      <c r="E1575" t="s">
        <v>23</v>
      </c>
      <c r="F1575" t="str">
        <f t="shared" si="49"/>
        <v>Desktop</v>
      </c>
      <c r="G1575">
        <v>12</v>
      </c>
      <c r="H1575">
        <v>0</v>
      </c>
      <c r="I1575">
        <v>0</v>
      </c>
    </row>
    <row r="1576" spans="1:9">
      <c r="A1576" t="s">
        <v>1594</v>
      </c>
      <c r="B1576" t="s">
        <v>8</v>
      </c>
      <c r="C1576" t="str">
        <f t="shared" si="48"/>
        <v>A</v>
      </c>
      <c r="D1576" t="s">
        <v>20</v>
      </c>
      <c r="E1576" t="s">
        <v>10</v>
      </c>
      <c r="F1576" t="str">
        <f t="shared" si="49"/>
        <v>Mobile</v>
      </c>
      <c r="G1576">
        <v>10</v>
      </c>
      <c r="H1576">
        <v>0</v>
      </c>
      <c r="I1576">
        <v>0</v>
      </c>
    </row>
    <row r="1577" spans="1:9">
      <c r="A1577" t="s">
        <v>1595</v>
      </c>
      <c r="B1577" t="s">
        <v>15</v>
      </c>
      <c r="C1577" t="str">
        <f t="shared" si="48"/>
        <v>B</v>
      </c>
      <c r="D1577" t="s">
        <v>20</v>
      </c>
      <c r="E1577" t="s">
        <v>10</v>
      </c>
      <c r="F1577" t="str">
        <f t="shared" si="49"/>
        <v>Mobile</v>
      </c>
      <c r="G1577">
        <v>8</v>
      </c>
      <c r="H1577">
        <v>0</v>
      </c>
      <c r="I1577">
        <v>0</v>
      </c>
    </row>
    <row r="1578" spans="1:9">
      <c r="A1578" t="s">
        <v>1596</v>
      </c>
      <c r="B1578" t="s">
        <v>8</v>
      </c>
      <c r="C1578" t="str">
        <f t="shared" si="48"/>
        <v>A</v>
      </c>
      <c r="D1578" t="s">
        <v>13</v>
      </c>
      <c r="E1578" t="s">
        <v>10</v>
      </c>
      <c r="F1578" t="str">
        <f t="shared" si="49"/>
        <v>Mobile</v>
      </c>
      <c r="G1578">
        <v>3</v>
      </c>
      <c r="H1578">
        <v>0</v>
      </c>
      <c r="I1578">
        <v>0</v>
      </c>
    </row>
    <row r="1579" spans="1:9">
      <c r="A1579" t="s">
        <v>1597</v>
      </c>
      <c r="B1579" t="s">
        <v>8</v>
      </c>
      <c r="C1579" t="str">
        <f t="shared" si="48"/>
        <v>A</v>
      </c>
      <c r="D1579" t="s">
        <v>9</v>
      </c>
      <c r="E1579" t="s">
        <v>10</v>
      </c>
      <c r="F1579" t="str">
        <f t="shared" si="49"/>
        <v>Mobile</v>
      </c>
      <c r="G1579">
        <v>9</v>
      </c>
      <c r="H1579">
        <v>0</v>
      </c>
      <c r="I1579">
        <v>0</v>
      </c>
    </row>
    <row r="1580" spans="1:9">
      <c r="A1580" t="s">
        <v>1598</v>
      </c>
      <c r="B1580" t="s">
        <v>15</v>
      </c>
      <c r="C1580" t="str">
        <f t="shared" si="48"/>
        <v>B</v>
      </c>
      <c r="D1580" t="s">
        <v>20</v>
      </c>
      <c r="E1580" t="s">
        <v>23</v>
      </c>
      <c r="F1580" t="str">
        <f t="shared" si="49"/>
        <v>Desktop</v>
      </c>
      <c r="G1580">
        <v>6</v>
      </c>
      <c r="H1580">
        <v>0</v>
      </c>
      <c r="I1580">
        <v>0</v>
      </c>
    </row>
    <row r="1581" spans="1:9">
      <c r="A1581" t="s">
        <v>1599</v>
      </c>
      <c r="B1581" t="s">
        <v>15</v>
      </c>
      <c r="C1581" t="str">
        <f t="shared" si="48"/>
        <v>B</v>
      </c>
      <c r="D1581" t="s">
        <v>13</v>
      </c>
      <c r="E1581" t="s">
        <v>10</v>
      </c>
      <c r="F1581" t="str">
        <f t="shared" si="49"/>
        <v>Mobile</v>
      </c>
      <c r="G1581">
        <v>9</v>
      </c>
      <c r="H1581">
        <v>0</v>
      </c>
      <c r="I1581">
        <v>0</v>
      </c>
    </row>
    <row r="1582" spans="1:9">
      <c r="A1582" t="s">
        <v>1600</v>
      </c>
      <c r="B1582" t="s">
        <v>29</v>
      </c>
      <c r="C1582" t="str">
        <f t="shared" si="48"/>
        <v>B</v>
      </c>
      <c r="D1582" t="s">
        <v>20</v>
      </c>
      <c r="E1582" t="s">
        <v>10</v>
      </c>
      <c r="F1582" t="str">
        <f t="shared" si="49"/>
        <v>Mobile</v>
      </c>
      <c r="G1582">
        <v>3</v>
      </c>
      <c r="H1582">
        <v>0</v>
      </c>
      <c r="I1582">
        <v>0</v>
      </c>
    </row>
    <row r="1583" spans="1:9">
      <c r="A1583" t="s">
        <v>1601</v>
      </c>
      <c r="B1583" t="s">
        <v>8</v>
      </c>
      <c r="C1583" t="str">
        <f t="shared" si="48"/>
        <v>A</v>
      </c>
      <c r="D1583" t="s">
        <v>13</v>
      </c>
      <c r="E1583" t="s">
        <v>10</v>
      </c>
      <c r="F1583" t="str">
        <f t="shared" si="49"/>
        <v>Mobile</v>
      </c>
      <c r="G1583">
        <v>6</v>
      </c>
      <c r="H1583">
        <v>0</v>
      </c>
      <c r="I1583">
        <v>0</v>
      </c>
    </row>
    <row r="1584" spans="1:9">
      <c r="A1584" t="s">
        <v>1602</v>
      </c>
      <c r="B1584" t="s">
        <v>8</v>
      </c>
      <c r="C1584" t="str">
        <f t="shared" si="48"/>
        <v>A</v>
      </c>
      <c r="D1584" t="s">
        <v>18</v>
      </c>
      <c r="E1584" t="s">
        <v>16</v>
      </c>
      <c r="F1584" t="str">
        <f t="shared" si="49"/>
        <v>Mobile</v>
      </c>
      <c r="G1584">
        <v>2</v>
      </c>
      <c r="H1584">
        <v>0</v>
      </c>
      <c r="I1584">
        <v>0</v>
      </c>
    </row>
    <row r="1585" spans="1:9">
      <c r="A1585" t="s">
        <v>1603</v>
      </c>
      <c r="B1585" t="s">
        <v>15</v>
      </c>
      <c r="C1585" t="str">
        <f t="shared" si="48"/>
        <v>B</v>
      </c>
      <c r="D1585" t="s">
        <v>20</v>
      </c>
      <c r="E1585" t="s">
        <v>23</v>
      </c>
      <c r="F1585" t="str">
        <f t="shared" si="49"/>
        <v>Desktop</v>
      </c>
      <c r="G1585">
        <v>11</v>
      </c>
      <c r="H1585">
        <v>0</v>
      </c>
      <c r="I1585">
        <v>0</v>
      </c>
    </row>
    <row r="1586" spans="1:9">
      <c r="A1586" t="s">
        <v>1604</v>
      </c>
      <c r="B1586" t="s">
        <v>15</v>
      </c>
      <c r="C1586" t="str">
        <f t="shared" si="48"/>
        <v>B</v>
      </c>
      <c r="D1586" t="s">
        <v>13</v>
      </c>
      <c r="E1586" t="s">
        <v>10</v>
      </c>
      <c r="F1586" t="str">
        <f t="shared" si="49"/>
        <v>Mobile</v>
      </c>
      <c r="G1586">
        <v>5</v>
      </c>
      <c r="H1586">
        <v>0</v>
      </c>
      <c r="I1586">
        <v>0</v>
      </c>
    </row>
    <row r="1587" spans="1:9">
      <c r="A1587" t="s">
        <v>1605</v>
      </c>
      <c r="B1587" t="s">
        <v>8</v>
      </c>
      <c r="C1587" t="str">
        <f t="shared" si="48"/>
        <v>A</v>
      </c>
      <c r="D1587" t="s">
        <v>20</v>
      </c>
      <c r="E1587" t="s">
        <v>10</v>
      </c>
      <c r="F1587" t="str">
        <f t="shared" si="49"/>
        <v>Mobile</v>
      </c>
      <c r="G1587">
        <v>3</v>
      </c>
      <c r="H1587">
        <v>1</v>
      </c>
      <c r="I1587">
        <v>1438.95</v>
      </c>
    </row>
    <row r="1588" spans="1:9">
      <c r="A1588" t="s">
        <v>1606</v>
      </c>
      <c r="B1588" t="s">
        <v>8</v>
      </c>
      <c r="C1588" t="str">
        <f t="shared" si="48"/>
        <v>A</v>
      </c>
      <c r="D1588" t="s">
        <v>20</v>
      </c>
      <c r="E1588" t="s">
        <v>10</v>
      </c>
      <c r="F1588" t="str">
        <f t="shared" si="49"/>
        <v>Mobile</v>
      </c>
      <c r="G1588">
        <v>5</v>
      </c>
      <c r="H1588">
        <v>0</v>
      </c>
      <c r="I1588">
        <v>0</v>
      </c>
    </row>
    <row r="1589" spans="1:9">
      <c r="A1589" t="s">
        <v>1607</v>
      </c>
      <c r="B1589" t="s">
        <v>8</v>
      </c>
      <c r="C1589" t="str">
        <f t="shared" si="48"/>
        <v>A</v>
      </c>
      <c r="D1589" t="s">
        <v>20</v>
      </c>
      <c r="E1589" t="s">
        <v>33</v>
      </c>
      <c r="F1589" t="str">
        <f t="shared" si="49"/>
        <v>Desktop</v>
      </c>
      <c r="G1589">
        <v>3</v>
      </c>
      <c r="H1589">
        <v>0</v>
      </c>
      <c r="I1589">
        <v>0</v>
      </c>
    </row>
    <row r="1590" spans="1:9">
      <c r="A1590" t="s">
        <v>1608</v>
      </c>
      <c r="B1590" t="s">
        <v>15</v>
      </c>
      <c r="C1590" t="str">
        <f t="shared" si="48"/>
        <v>B</v>
      </c>
      <c r="D1590" t="s">
        <v>20</v>
      </c>
      <c r="E1590" t="s">
        <v>23</v>
      </c>
      <c r="F1590" t="str">
        <f t="shared" si="49"/>
        <v>Desktop</v>
      </c>
      <c r="G1590">
        <v>9</v>
      </c>
      <c r="H1590">
        <v>0</v>
      </c>
      <c r="I1590">
        <v>0</v>
      </c>
    </row>
    <row r="1591" spans="1:9">
      <c r="A1591" t="s">
        <v>1609</v>
      </c>
      <c r="B1591" t="s">
        <v>8</v>
      </c>
      <c r="C1591" t="str">
        <f t="shared" si="48"/>
        <v>A</v>
      </c>
      <c r="D1591" t="s">
        <v>13</v>
      </c>
      <c r="E1591" t="s">
        <v>23</v>
      </c>
      <c r="F1591" t="str">
        <f t="shared" si="49"/>
        <v>Desktop</v>
      </c>
      <c r="G1591">
        <v>10</v>
      </c>
      <c r="H1591">
        <v>0</v>
      </c>
      <c r="I1591">
        <v>0</v>
      </c>
    </row>
    <row r="1592" spans="1:9">
      <c r="A1592" t="s">
        <v>1610</v>
      </c>
      <c r="B1592" t="s">
        <v>8</v>
      </c>
      <c r="C1592" t="str">
        <f t="shared" si="48"/>
        <v>A</v>
      </c>
      <c r="D1592" t="s">
        <v>13</v>
      </c>
      <c r="E1592" t="s">
        <v>23</v>
      </c>
      <c r="F1592" t="str">
        <f t="shared" si="49"/>
        <v>Desktop</v>
      </c>
      <c r="G1592">
        <v>7</v>
      </c>
      <c r="H1592">
        <v>0</v>
      </c>
      <c r="I1592">
        <v>0</v>
      </c>
    </row>
    <row r="1593" spans="1:9">
      <c r="A1593" t="s">
        <v>1611</v>
      </c>
      <c r="B1593" t="s">
        <v>8</v>
      </c>
      <c r="C1593" t="str">
        <f t="shared" si="48"/>
        <v>A</v>
      </c>
      <c r="D1593" t="s">
        <v>13</v>
      </c>
      <c r="E1593" t="s">
        <v>10</v>
      </c>
      <c r="F1593" t="str">
        <f t="shared" si="49"/>
        <v>Mobile</v>
      </c>
      <c r="G1593">
        <v>12</v>
      </c>
      <c r="H1593">
        <v>0</v>
      </c>
      <c r="I1593">
        <v>0</v>
      </c>
    </row>
    <row r="1594" spans="1:9">
      <c r="A1594" t="s">
        <v>1612</v>
      </c>
      <c r="B1594" t="s">
        <v>8</v>
      </c>
      <c r="C1594" t="str">
        <f t="shared" si="48"/>
        <v>A</v>
      </c>
      <c r="D1594" t="s">
        <v>20</v>
      </c>
      <c r="E1594" t="s">
        <v>23</v>
      </c>
      <c r="F1594" t="str">
        <f t="shared" si="49"/>
        <v>Desktop</v>
      </c>
      <c r="G1594">
        <v>5</v>
      </c>
      <c r="H1594">
        <v>0</v>
      </c>
      <c r="I1594">
        <v>0</v>
      </c>
    </row>
    <row r="1595" spans="1:9">
      <c r="A1595" t="s">
        <v>1613</v>
      </c>
      <c r="B1595" t="s">
        <v>8</v>
      </c>
      <c r="C1595" t="str">
        <f t="shared" si="48"/>
        <v>A</v>
      </c>
      <c r="D1595" t="s">
        <v>20</v>
      </c>
      <c r="E1595" t="s">
        <v>23</v>
      </c>
      <c r="F1595" t="str">
        <f t="shared" si="49"/>
        <v>Desktop</v>
      </c>
      <c r="G1595">
        <v>6</v>
      </c>
      <c r="H1595">
        <v>0</v>
      </c>
      <c r="I1595">
        <v>0</v>
      </c>
    </row>
    <row r="1596" spans="1:9">
      <c r="A1596" t="s">
        <v>1614</v>
      </c>
      <c r="B1596" t="s">
        <v>15</v>
      </c>
      <c r="C1596" t="str">
        <f t="shared" si="48"/>
        <v>B</v>
      </c>
      <c r="D1596" t="s">
        <v>13</v>
      </c>
      <c r="E1596" t="s">
        <v>10</v>
      </c>
      <c r="F1596" t="str">
        <f t="shared" si="49"/>
        <v>Mobile</v>
      </c>
      <c r="G1596">
        <v>3</v>
      </c>
      <c r="H1596">
        <v>1</v>
      </c>
      <c r="I1596">
        <v>2630.66</v>
      </c>
    </row>
    <row r="1597" spans="1:9">
      <c r="A1597" t="s">
        <v>1615</v>
      </c>
      <c r="B1597" t="s">
        <v>8</v>
      </c>
      <c r="C1597" t="str">
        <f t="shared" si="48"/>
        <v>A</v>
      </c>
      <c r="D1597" t="s">
        <v>18</v>
      </c>
      <c r="E1597" t="s">
        <v>10</v>
      </c>
      <c r="F1597" t="str">
        <f t="shared" si="49"/>
        <v>Mobile</v>
      </c>
      <c r="G1597">
        <v>12</v>
      </c>
      <c r="H1597">
        <v>0</v>
      </c>
      <c r="I1597">
        <v>0</v>
      </c>
    </row>
    <row r="1598" spans="1:9">
      <c r="A1598" t="s">
        <v>1616</v>
      </c>
      <c r="B1598" t="s">
        <v>15</v>
      </c>
      <c r="C1598" t="str">
        <f t="shared" si="48"/>
        <v>B</v>
      </c>
      <c r="D1598" t="s">
        <v>20</v>
      </c>
      <c r="E1598" t="s">
        <v>23</v>
      </c>
      <c r="F1598" t="str">
        <f t="shared" si="49"/>
        <v>Desktop</v>
      </c>
      <c r="G1598">
        <v>6</v>
      </c>
      <c r="H1598">
        <v>0</v>
      </c>
      <c r="I1598">
        <v>0</v>
      </c>
    </row>
    <row r="1599" spans="1:9">
      <c r="A1599" t="s">
        <v>1617</v>
      </c>
      <c r="B1599" t="s">
        <v>8</v>
      </c>
      <c r="C1599" t="str">
        <f t="shared" si="48"/>
        <v>A</v>
      </c>
      <c r="D1599" t="s">
        <v>9</v>
      </c>
      <c r="E1599" t="s">
        <v>33</v>
      </c>
      <c r="F1599" t="str">
        <f t="shared" si="49"/>
        <v>Desktop</v>
      </c>
      <c r="G1599">
        <v>12</v>
      </c>
      <c r="H1599">
        <v>0</v>
      </c>
      <c r="I1599">
        <v>0</v>
      </c>
    </row>
    <row r="1600" spans="1:9">
      <c r="A1600" t="s">
        <v>1618</v>
      </c>
      <c r="B1600" t="s">
        <v>15</v>
      </c>
      <c r="C1600" t="str">
        <f t="shared" si="48"/>
        <v>B</v>
      </c>
      <c r="D1600" t="s">
        <v>13</v>
      </c>
      <c r="E1600" t="s">
        <v>10</v>
      </c>
      <c r="F1600" t="str">
        <f t="shared" si="49"/>
        <v>Mobile</v>
      </c>
      <c r="G1600">
        <v>7</v>
      </c>
      <c r="H1600">
        <v>0</v>
      </c>
      <c r="I1600">
        <v>0</v>
      </c>
    </row>
    <row r="1601" spans="1:9">
      <c r="A1601" t="s">
        <v>1619</v>
      </c>
      <c r="B1601" t="s">
        <v>15</v>
      </c>
      <c r="C1601" t="str">
        <f t="shared" si="48"/>
        <v>B</v>
      </c>
      <c r="D1601" t="s">
        <v>13</v>
      </c>
      <c r="E1601" t="s">
        <v>16</v>
      </c>
      <c r="F1601" t="str">
        <f t="shared" si="49"/>
        <v>Mobile</v>
      </c>
      <c r="G1601">
        <v>4</v>
      </c>
      <c r="H1601">
        <v>0</v>
      </c>
      <c r="I1601">
        <v>0</v>
      </c>
    </row>
    <row r="1602" spans="1:9">
      <c r="A1602" t="s">
        <v>1620</v>
      </c>
      <c r="B1602" t="s">
        <v>15</v>
      </c>
      <c r="C1602" t="str">
        <f t="shared" ref="C1602:C1665" si="50">IF(OR(B1602="control", B1602="A"), "A", "B")</f>
        <v>B</v>
      </c>
      <c r="D1602" t="s">
        <v>13</v>
      </c>
      <c r="E1602" t="s">
        <v>23</v>
      </c>
      <c r="F1602" t="str">
        <f t="shared" ref="F1602:F1665" si="51">PROPER(E1602)</f>
        <v>Desktop</v>
      </c>
      <c r="G1602">
        <v>4</v>
      </c>
      <c r="H1602">
        <v>0</v>
      </c>
      <c r="I1602">
        <v>0</v>
      </c>
    </row>
    <row r="1603" spans="1:9">
      <c r="A1603" t="s">
        <v>1621</v>
      </c>
      <c r="B1603" t="s">
        <v>15</v>
      </c>
      <c r="C1603" t="str">
        <f t="shared" si="50"/>
        <v>B</v>
      </c>
      <c r="D1603" t="s">
        <v>20</v>
      </c>
      <c r="E1603" t="s">
        <v>10</v>
      </c>
      <c r="F1603" t="str">
        <f t="shared" si="51"/>
        <v>Mobile</v>
      </c>
      <c r="G1603">
        <v>5</v>
      </c>
      <c r="H1603">
        <v>0</v>
      </c>
      <c r="I1603">
        <v>0</v>
      </c>
    </row>
    <row r="1604" spans="1:9">
      <c r="A1604" t="s">
        <v>1622</v>
      </c>
      <c r="B1604" t="s">
        <v>8</v>
      </c>
      <c r="C1604" t="str">
        <f t="shared" si="50"/>
        <v>A</v>
      </c>
      <c r="D1604" t="s">
        <v>20</v>
      </c>
      <c r="E1604" t="s">
        <v>10</v>
      </c>
      <c r="F1604" t="str">
        <f t="shared" si="51"/>
        <v>Mobile</v>
      </c>
      <c r="G1604">
        <v>3</v>
      </c>
      <c r="H1604">
        <v>0</v>
      </c>
      <c r="I1604">
        <v>0</v>
      </c>
    </row>
    <row r="1605" spans="1:9">
      <c r="A1605" t="s">
        <v>1623</v>
      </c>
      <c r="B1605" t="s">
        <v>8</v>
      </c>
      <c r="C1605" t="str">
        <f t="shared" si="50"/>
        <v>A</v>
      </c>
      <c r="D1605" t="s">
        <v>13</v>
      </c>
      <c r="E1605" t="s">
        <v>10</v>
      </c>
      <c r="F1605" t="str">
        <f t="shared" si="51"/>
        <v>Mobile</v>
      </c>
      <c r="G1605">
        <v>8</v>
      </c>
      <c r="H1605">
        <v>0</v>
      </c>
      <c r="I1605">
        <v>0</v>
      </c>
    </row>
    <row r="1606" spans="1:9">
      <c r="A1606" t="s">
        <v>1624</v>
      </c>
      <c r="B1606" t="s">
        <v>15</v>
      </c>
      <c r="C1606" t="str">
        <f t="shared" si="50"/>
        <v>B</v>
      </c>
      <c r="D1606" t="s">
        <v>20</v>
      </c>
      <c r="E1606" t="s">
        <v>23</v>
      </c>
      <c r="F1606" t="str">
        <f t="shared" si="51"/>
        <v>Desktop</v>
      </c>
      <c r="G1606">
        <v>8</v>
      </c>
      <c r="H1606">
        <v>0</v>
      </c>
      <c r="I1606">
        <v>0</v>
      </c>
    </row>
    <row r="1607" spans="1:9">
      <c r="A1607" t="s">
        <v>1625</v>
      </c>
      <c r="B1607" t="s">
        <v>29</v>
      </c>
      <c r="C1607" t="str">
        <f t="shared" si="50"/>
        <v>B</v>
      </c>
      <c r="D1607" t="s">
        <v>9</v>
      </c>
      <c r="E1607" t="s">
        <v>10</v>
      </c>
      <c r="F1607" t="str">
        <f t="shared" si="51"/>
        <v>Mobile</v>
      </c>
      <c r="G1607">
        <v>5</v>
      </c>
      <c r="H1607">
        <v>0</v>
      </c>
      <c r="I1607">
        <v>0</v>
      </c>
    </row>
    <row r="1608" spans="1:9">
      <c r="A1608" t="s">
        <v>1626</v>
      </c>
      <c r="B1608" t="s">
        <v>15</v>
      </c>
      <c r="C1608" t="str">
        <f t="shared" si="50"/>
        <v>B</v>
      </c>
      <c r="D1608" t="s">
        <v>20</v>
      </c>
      <c r="E1608" t="s">
        <v>10</v>
      </c>
      <c r="F1608" t="str">
        <f t="shared" si="51"/>
        <v>Mobile</v>
      </c>
      <c r="G1608">
        <v>10</v>
      </c>
      <c r="H1608">
        <v>1</v>
      </c>
      <c r="I1608">
        <v>1576.71</v>
      </c>
    </row>
    <row r="1609" spans="1:9">
      <c r="A1609" t="s">
        <v>1627</v>
      </c>
      <c r="B1609" t="s">
        <v>15</v>
      </c>
      <c r="C1609" t="str">
        <f t="shared" si="50"/>
        <v>B</v>
      </c>
      <c r="D1609" t="s">
        <v>20</v>
      </c>
      <c r="E1609" t="s">
        <v>10</v>
      </c>
      <c r="F1609" t="str">
        <f t="shared" si="51"/>
        <v>Mobile</v>
      </c>
      <c r="G1609">
        <v>7</v>
      </c>
      <c r="H1609">
        <v>0</v>
      </c>
      <c r="I1609">
        <v>0</v>
      </c>
    </row>
    <row r="1610" spans="1:9">
      <c r="A1610" t="s">
        <v>1628</v>
      </c>
      <c r="B1610" t="s">
        <v>15</v>
      </c>
      <c r="C1610" t="str">
        <f t="shared" si="50"/>
        <v>B</v>
      </c>
      <c r="D1610" t="s">
        <v>13</v>
      </c>
      <c r="E1610" t="s">
        <v>23</v>
      </c>
      <c r="F1610" t="str">
        <f t="shared" si="51"/>
        <v>Desktop</v>
      </c>
      <c r="G1610">
        <v>4</v>
      </c>
      <c r="H1610">
        <v>0</v>
      </c>
      <c r="I1610">
        <v>0</v>
      </c>
    </row>
    <row r="1611" spans="1:9">
      <c r="A1611" t="s">
        <v>1629</v>
      </c>
      <c r="B1611" t="s">
        <v>15</v>
      </c>
      <c r="C1611" t="str">
        <f t="shared" si="50"/>
        <v>B</v>
      </c>
      <c r="D1611" t="s">
        <v>20</v>
      </c>
      <c r="E1611" t="s">
        <v>10</v>
      </c>
      <c r="F1611" t="str">
        <f t="shared" si="51"/>
        <v>Mobile</v>
      </c>
      <c r="G1611">
        <v>9</v>
      </c>
      <c r="H1611">
        <v>0</v>
      </c>
      <c r="I1611">
        <v>0</v>
      </c>
    </row>
    <row r="1612" spans="1:9">
      <c r="A1612" t="s">
        <v>1630</v>
      </c>
      <c r="B1612" t="s">
        <v>8</v>
      </c>
      <c r="C1612" t="str">
        <f t="shared" si="50"/>
        <v>A</v>
      </c>
      <c r="D1612" t="s">
        <v>13</v>
      </c>
      <c r="E1612" t="s">
        <v>10</v>
      </c>
      <c r="F1612" t="str">
        <f t="shared" si="51"/>
        <v>Mobile</v>
      </c>
      <c r="G1612">
        <v>7</v>
      </c>
      <c r="H1612">
        <v>0</v>
      </c>
      <c r="I1612">
        <v>0</v>
      </c>
    </row>
    <row r="1613" spans="1:9">
      <c r="A1613" t="s">
        <v>1631</v>
      </c>
      <c r="B1613" t="s">
        <v>15</v>
      </c>
      <c r="C1613" t="str">
        <f t="shared" si="50"/>
        <v>B</v>
      </c>
      <c r="D1613" t="s">
        <v>13</v>
      </c>
      <c r="E1613" t="s">
        <v>10</v>
      </c>
      <c r="F1613" t="str">
        <f t="shared" si="51"/>
        <v>Mobile</v>
      </c>
      <c r="G1613">
        <v>9</v>
      </c>
      <c r="H1613">
        <v>0</v>
      </c>
      <c r="I1613">
        <v>0</v>
      </c>
    </row>
    <row r="1614" spans="1:9">
      <c r="A1614" t="s">
        <v>1632</v>
      </c>
      <c r="B1614" t="s">
        <v>12</v>
      </c>
      <c r="C1614" t="str">
        <f t="shared" si="50"/>
        <v>A</v>
      </c>
      <c r="D1614" t="s">
        <v>9</v>
      </c>
      <c r="E1614" t="s">
        <v>23</v>
      </c>
      <c r="F1614" t="str">
        <f t="shared" si="51"/>
        <v>Desktop</v>
      </c>
      <c r="G1614">
        <v>7</v>
      </c>
      <c r="H1614">
        <v>0</v>
      </c>
      <c r="I1614">
        <v>0</v>
      </c>
    </row>
    <row r="1615" spans="1:9">
      <c r="A1615" t="s">
        <v>1633</v>
      </c>
      <c r="B1615" t="s">
        <v>8</v>
      </c>
      <c r="C1615" t="str">
        <f t="shared" si="50"/>
        <v>A</v>
      </c>
      <c r="D1615" t="s">
        <v>9</v>
      </c>
      <c r="E1615" t="s">
        <v>23</v>
      </c>
      <c r="F1615" t="str">
        <f t="shared" si="51"/>
        <v>Desktop</v>
      </c>
      <c r="G1615">
        <v>2</v>
      </c>
      <c r="H1615">
        <v>1</v>
      </c>
      <c r="I1615">
        <v>5654.19</v>
      </c>
    </row>
    <row r="1616" spans="1:9">
      <c r="A1616" t="s">
        <v>1634</v>
      </c>
      <c r="B1616" t="s">
        <v>15</v>
      </c>
      <c r="C1616" t="str">
        <f t="shared" si="50"/>
        <v>B</v>
      </c>
      <c r="D1616" t="s">
        <v>13</v>
      </c>
      <c r="E1616" t="s">
        <v>10</v>
      </c>
      <c r="F1616" t="str">
        <f t="shared" si="51"/>
        <v>Mobile</v>
      </c>
      <c r="G1616">
        <v>9</v>
      </c>
      <c r="H1616">
        <v>0</v>
      </c>
      <c r="I1616">
        <v>0</v>
      </c>
    </row>
    <row r="1617" spans="1:9">
      <c r="A1617" t="s">
        <v>1635</v>
      </c>
      <c r="B1617" t="s">
        <v>8</v>
      </c>
      <c r="C1617" t="str">
        <f t="shared" si="50"/>
        <v>A</v>
      </c>
      <c r="D1617" t="s">
        <v>13</v>
      </c>
      <c r="E1617" t="s">
        <v>23</v>
      </c>
      <c r="F1617" t="str">
        <f t="shared" si="51"/>
        <v>Desktop</v>
      </c>
      <c r="G1617">
        <v>1</v>
      </c>
      <c r="H1617">
        <v>0</v>
      </c>
      <c r="I1617">
        <v>0</v>
      </c>
    </row>
    <row r="1618" spans="1:9">
      <c r="A1618" t="s">
        <v>1636</v>
      </c>
      <c r="B1618" t="s">
        <v>15</v>
      </c>
      <c r="C1618" t="str">
        <f t="shared" si="50"/>
        <v>B</v>
      </c>
      <c r="D1618" t="s">
        <v>18</v>
      </c>
      <c r="E1618" t="s">
        <v>23</v>
      </c>
      <c r="F1618" t="str">
        <f t="shared" si="51"/>
        <v>Desktop</v>
      </c>
      <c r="G1618">
        <v>7</v>
      </c>
      <c r="H1618">
        <v>1</v>
      </c>
      <c r="I1618">
        <v>1459.28</v>
      </c>
    </row>
    <row r="1619" spans="1:9">
      <c r="A1619" t="s">
        <v>1637</v>
      </c>
      <c r="B1619" t="s">
        <v>8</v>
      </c>
      <c r="C1619" t="str">
        <f t="shared" si="50"/>
        <v>A</v>
      </c>
      <c r="D1619" t="s">
        <v>20</v>
      </c>
      <c r="E1619" t="s">
        <v>23</v>
      </c>
      <c r="F1619" t="str">
        <f t="shared" si="51"/>
        <v>Desktop</v>
      </c>
      <c r="G1619">
        <v>3</v>
      </c>
      <c r="H1619">
        <v>1</v>
      </c>
      <c r="I1619">
        <v>1300.23</v>
      </c>
    </row>
    <row r="1620" spans="1:9">
      <c r="A1620" t="s">
        <v>1638</v>
      </c>
      <c r="B1620" t="s">
        <v>8</v>
      </c>
      <c r="C1620" t="str">
        <f t="shared" si="50"/>
        <v>A</v>
      </c>
      <c r="D1620" t="s">
        <v>20</v>
      </c>
      <c r="E1620" t="s">
        <v>23</v>
      </c>
      <c r="F1620" t="str">
        <f t="shared" si="51"/>
        <v>Desktop</v>
      </c>
      <c r="G1620">
        <v>5</v>
      </c>
      <c r="H1620">
        <v>0</v>
      </c>
      <c r="I1620">
        <v>0</v>
      </c>
    </row>
    <row r="1621" spans="1:9">
      <c r="A1621" t="s">
        <v>1639</v>
      </c>
      <c r="B1621" t="s">
        <v>15</v>
      </c>
      <c r="C1621" t="str">
        <f t="shared" si="50"/>
        <v>B</v>
      </c>
      <c r="D1621" t="s">
        <v>20</v>
      </c>
      <c r="E1621" t="s">
        <v>10</v>
      </c>
      <c r="F1621" t="str">
        <f t="shared" si="51"/>
        <v>Mobile</v>
      </c>
      <c r="G1621">
        <v>4</v>
      </c>
      <c r="H1621">
        <v>0</v>
      </c>
      <c r="I1621">
        <v>0</v>
      </c>
    </row>
    <row r="1622" spans="1:9">
      <c r="A1622" t="s">
        <v>1640</v>
      </c>
      <c r="B1622" t="s">
        <v>8</v>
      </c>
      <c r="C1622" t="str">
        <f t="shared" si="50"/>
        <v>A</v>
      </c>
      <c r="D1622" t="s">
        <v>20</v>
      </c>
      <c r="E1622" t="s">
        <v>10</v>
      </c>
      <c r="F1622" t="str">
        <f t="shared" si="51"/>
        <v>Mobile</v>
      </c>
      <c r="G1622">
        <v>5</v>
      </c>
      <c r="H1622">
        <v>0</v>
      </c>
      <c r="I1622">
        <v>0</v>
      </c>
    </row>
    <row r="1623" spans="1:9">
      <c r="A1623" t="s">
        <v>1641</v>
      </c>
      <c r="B1623" t="s">
        <v>15</v>
      </c>
      <c r="C1623" t="str">
        <f t="shared" si="50"/>
        <v>B</v>
      </c>
      <c r="D1623" t="s">
        <v>13</v>
      </c>
      <c r="E1623" t="s">
        <v>23</v>
      </c>
      <c r="F1623" t="str">
        <f t="shared" si="51"/>
        <v>Desktop</v>
      </c>
      <c r="G1623">
        <v>4</v>
      </c>
      <c r="H1623">
        <v>0</v>
      </c>
      <c r="I1623">
        <v>0</v>
      </c>
    </row>
    <row r="1624" spans="1:9">
      <c r="A1624" t="s">
        <v>1642</v>
      </c>
      <c r="B1624" t="s">
        <v>15</v>
      </c>
      <c r="C1624" t="str">
        <f t="shared" si="50"/>
        <v>B</v>
      </c>
      <c r="D1624" t="s">
        <v>13</v>
      </c>
      <c r="E1624" t="s">
        <v>23</v>
      </c>
      <c r="F1624" t="str">
        <f t="shared" si="51"/>
        <v>Desktop</v>
      </c>
      <c r="G1624">
        <v>2</v>
      </c>
      <c r="H1624">
        <v>0</v>
      </c>
      <c r="I1624">
        <v>0</v>
      </c>
    </row>
    <row r="1625" spans="1:9">
      <c r="A1625" t="s">
        <v>1643</v>
      </c>
      <c r="B1625" t="s">
        <v>12</v>
      </c>
      <c r="C1625" t="str">
        <f t="shared" si="50"/>
        <v>A</v>
      </c>
      <c r="D1625" t="s">
        <v>13</v>
      </c>
      <c r="E1625" t="s">
        <v>23</v>
      </c>
      <c r="F1625" t="str">
        <f t="shared" si="51"/>
        <v>Desktop</v>
      </c>
      <c r="G1625">
        <v>3</v>
      </c>
      <c r="H1625">
        <v>0</v>
      </c>
      <c r="I1625">
        <v>0</v>
      </c>
    </row>
    <row r="1626" spans="1:9">
      <c r="A1626" t="s">
        <v>1644</v>
      </c>
      <c r="B1626" t="s">
        <v>8</v>
      </c>
      <c r="C1626" t="str">
        <f t="shared" si="50"/>
        <v>A</v>
      </c>
      <c r="D1626" t="s">
        <v>20</v>
      </c>
      <c r="E1626" t="s">
        <v>10</v>
      </c>
      <c r="F1626" t="str">
        <f t="shared" si="51"/>
        <v>Mobile</v>
      </c>
      <c r="G1626">
        <v>7</v>
      </c>
      <c r="H1626">
        <v>0</v>
      </c>
      <c r="I1626">
        <v>0</v>
      </c>
    </row>
    <row r="1627" spans="1:9">
      <c r="A1627" t="s">
        <v>1645</v>
      </c>
      <c r="B1627" t="s">
        <v>8</v>
      </c>
      <c r="C1627" t="str">
        <f t="shared" si="50"/>
        <v>A</v>
      </c>
      <c r="D1627" t="s">
        <v>13</v>
      </c>
      <c r="E1627" t="s">
        <v>33</v>
      </c>
      <c r="F1627" t="str">
        <f t="shared" si="51"/>
        <v>Desktop</v>
      </c>
      <c r="G1627">
        <v>1</v>
      </c>
      <c r="H1627">
        <v>1</v>
      </c>
      <c r="I1627">
        <v>2930.13</v>
      </c>
    </row>
    <row r="1628" spans="1:9">
      <c r="A1628" t="s">
        <v>1646</v>
      </c>
      <c r="B1628" t="s">
        <v>8</v>
      </c>
      <c r="C1628" t="str">
        <f t="shared" si="50"/>
        <v>A</v>
      </c>
      <c r="D1628" t="s">
        <v>20</v>
      </c>
      <c r="E1628" t="s">
        <v>23</v>
      </c>
      <c r="F1628" t="str">
        <f t="shared" si="51"/>
        <v>Desktop</v>
      </c>
      <c r="G1628">
        <v>9</v>
      </c>
      <c r="H1628">
        <v>0</v>
      </c>
      <c r="I1628">
        <v>0</v>
      </c>
    </row>
    <row r="1629" spans="1:9">
      <c r="A1629" t="s">
        <v>1647</v>
      </c>
      <c r="B1629" t="s">
        <v>29</v>
      </c>
      <c r="C1629" t="str">
        <f t="shared" si="50"/>
        <v>B</v>
      </c>
      <c r="D1629" t="s">
        <v>13</v>
      </c>
      <c r="E1629" t="s">
        <v>10</v>
      </c>
      <c r="F1629" t="str">
        <f t="shared" si="51"/>
        <v>Mobile</v>
      </c>
      <c r="G1629">
        <v>5</v>
      </c>
      <c r="H1629">
        <v>0</v>
      </c>
      <c r="I1629">
        <v>0</v>
      </c>
    </row>
    <row r="1630" spans="1:9">
      <c r="A1630" t="s">
        <v>1648</v>
      </c>
      <c r="B1630" t="s">
        <v>12</v>
      </c>
      <c r="C1630" t="str">
        <f t="shared" si="50"/>
        <v>A</v>
      </c>
      <c r="D1630" t="s">
        <v>13</v>
      </c>
      <c r="E1630" t="s">
        <v>10</v>
      </c>
      <c r="F1630" t="str">
        <f t="shared" si="51"/>
        <v>Mobile</v>
      </c>
      <c r="G1630">
        <v>4</v>
      </c>
      <c r="H1630">
        <v>0</v>
      </c>
      <c r="I1630">
        <v>0</v>
      </c>
    </row>
    <row r="1631" spans="1:9">
      <c r="A1631" t="s">
        <v>1649</v>
      </c>
      <c r="B1631" t="s">
        <v>15</v>
      </c>
      <c r="C1631" t="str">
        <f t="shared" si="50"/>
        <v>B</v>
      </c>
      <c r="D1631" t="s">
        <v>20</v>
      </c>
      <c r="E1631" t="s">
        <v>23</v>
      </c>
      <c r="F1631" t="str">
        <f t="shared" si="51"/>
        <v>Desktop</v>
      </c>
      <c r="G1631">
        <v>3</v>
      </c>
      <c r="H1631">
        <v>0</v>
      </c>
      <c r="I1631">
        <v>0</v>
      </c>
    </row>
    <row r="1632" spans="1:9">
      <c r="A1632" t="s">
        <v>1650</v>
      </c>
      <c r="B1632" t="s">
        <v>15</v>
      </c>
      <c r="C1632" t="str">
        <f t="shared" si="50"/>
        <v>B</v>
      </c>
      <c r="D1632" t="s">
        <v>20</v>
      </c>
      <c r="E1632" t="s">
        <v>23</v>
      </c>
      <c r="F1632" t="str">
        <f t="shared" si="51"/>
        <v>Desktop</v>
      </c>
      <c r="G1632">
        <v>7</v>
      </c>
      <c r="H1632">
        <v>0</v>
      </c>
      <c r="I1632">
        <v>0</v>
      </c>
    </row>
    <row r="1633" spans="1:9">
      <c r="A1633" t="s">
        <v>1651</v>
      </c>
      <c r="B1633" t="s">
        <v>15</v>
      </c>
      <c r="C1633" t="str">
        <f t="shared" si="50"/>
        <v>B</v>
      </c>
      <c r="D1633" t="s">
        <v>20</v>
      </c>
      <c r="E1633" t="s">
        <v>10</v>
      </c>
      <c r="F1633" t="str">
        <f t="shared" si="51"/>
        <v>Mobile</v>
      </c>
      <c r="G1633">
        <v>3</v>
      </c>
      <c r="H1633">
        <v>0</v>
      </c>
      <c r="I1633">
        <v>0</v>
      </c>
    </row>
    <row r="1634" spans="1:9">
      <c r="A1634" t="s">
        <v>1652</v>
      </c>
      <c r="B1634" t="s">
        <v>15</v>
      </c>
      <c r="C1634" t="str">
        <f t="shared" si="50"/>
        <v>B</v>
      </c>
      <c r="D1634" t="s">
        <v>9</v>
      </c>
      <c r="E1634" t="s">
        <v>16</v>
      </c>
      <c r="F1634" t="str">
        <f t="shared" si="51"/>
        <v>Mobile</v>
      </c>
      <c r="G1634">
        <v>3</v>
      </c>
      <c r="H1634">
        <v>1</v>
      </c>
      <c r="I1634">
        <v>6169.67</v>
      </c>
    </row>
    <row r="1635" spans="1:9">
      <c r="A1635" t="s">
        <v>1653</v>
      </c>
      <c r="B1635" t="s">
        <v>8</v>
      </c>
      <c r="C1635" t="str">
        <f t="shared" si="50"/>
        <v>A</v>
      </c>
      <c r="D1635" t="s">
        <v>9</v>
      </c>
      <c r="E1635" t="s">
        <v>10</v>
      </c>
      <c r="F1635" t="str">
        <f t="shared" si="51"/>
        <v>Mobile</v>
      </c>
      <c r="G1635">
        <v>6</v>
      </c>
      <c r="H1635">
        <v>0</v>
      </c>
      <c r="I1635">
        <v>0</v>
      </c>
    </row>
    <row r="1636" spans="1:9">
      <c r="A1636" t="s">
        <v>1654</v>
      </c>
      <c r="B1636" t="s">
        <v>15</v>
      </c>
      <c r="C1636" t="str">
        <f t="shared" si="50"/>
        <v>B</v>
      </c>
      <c r="D1636" t="s">
        <v>13</v>
      </c>
      <c r="E1636" t="s">
        <v>10</v>
      </c>
      <c r="F1636" t="str">
        <f t="shared" si="51"/>
        <v>Mobile</v>
      </c>
      <c r="G1636">
        <v>8</v>
      </c>
      <c r="H1636">
        <v>0</v>
      </c>
      <c r="I1636">
        <v>0</v>
      </c>
    </row>
    <row r="1637" spans="1:9">
      <c r="A1637" t="s">
        <v>1655</v>
      </c>
      <c r="B1637" t="s">
        <v>8</v>
      </c>
      <c r="C1637" t="str">
        <f t="shared" si="50"/>
        <v>A</v>
      </c>
      <c r="D1637" t="s">
        <v>20</v>
      </c>
      <c r="E1637" t="s">
        <v>16</v>
      </c>
      <c r="F1637" t="str">
        <f t="shared" si="51"/>
        <v>Mobile</v>
      </c>
      <c r="G1637">
        <v>5</v>
      </c>
      <c r="H1637">
        <v>0</v>
      </c>
      <c r="I1637">
        <v>0</v>
      </c>
    </row>
    <row r="1638" spans="1:9">
      <c r="A1638" t="s">
        <v>1656</v>
      </c>
      <c r="B1638" t="s">
        <v>15</v>
      </c>
      <c r="C1638" t="str">
        <f t="shared" si="50"/>
        <v>B</v>
      </c>
      <c r="D1638" t="s">
        <v>20</v>
      </c>
      <c r="E1638" t="s">
        <v>16</v>
      </c>
      <c r="F1638" t="str">
        <f t="shared" si="51"/>
        <v>Mobile</v>
      </c>
      <c r="G1638">
        <v>5</v>
      </c>
      <c r="H1638">
        <v>0</v>
      </c>
      <c r="I1638">
        <v>0</v>
      </c>
    </row>
    <row r="1639" spans="1:9">
      <c r="A1639" t="s">
        <v>1657</v>
      </c>
      <c r="B1639" t="s">
        <v>15</v>
      </c>
      <c r="C1639" t="str">
        <f t="shared" si="50"/>
        <v>B</v>
      </c>
      <c r="D1639" t="s">
        <v>13</v>
      </c>
      <c r="E1639" t="s">
        <v>23</v>
      </c>
      <c r="F1639" t="str">
        <f t="shared" si="51"/>
        <v>Desktop</v>
      </c>
      <c r="G1639">
        <v>7</v>
      </c>
      <c r="H1639">
        <v>0</v>
      </c>
      <c r="I1639">
        <v>0</v>
      </c>
    </row>
    <row r="1640" spans="1:9">
      <c r="A1640" t="s">
        <v>1658</v>
      </c>
      <c r="B1640" t="s">
        <v>15</v>
      </c>
      <c r="C1640" t="str">
        <f t="shared" si="50"/>
        <v>B</v>
      </c>
      <c r="D1640" t="s">
        <v>9</v>
      </c>
      <c r="E1640" t="s">
        <v>16</v>
      </c>
      <c r="F1640" t="str">
        <f t="shared" si="51"/>
        <v>Mobile</v>
      </c>
      <c r="G1640">
        <v>5</v>
      </c>
      <c r="H1640">
        <v>0</v>
      </c>
      <c r="I1640">
        <v>0</v>
      </c>
    </row>
    <row r="1641" spans="1:9">
      <c r="A1641" t="s">
        <v>1659</v>
      </c>
      <c r="B1641" t="s">
        <v>8</v>
      </c>
      <c r="C1641" t="str">
        <f t="shared" si="50"/>
        <v>A</v>
      </c>
      <c r="D1641" t="s">
        <v>20</v>
      </c>
      <c r="E1641" t="s">
        <v>10</v>
      </c>
      <c r="F1641" t="str">
        <f t="shared" si="51"/>
        <v>Mobile</v>
      </c>
      <c r="G1641">
        <v>5</v>
      </c>
      <c r="H1641">
        <v>0</v>
      </c>
      <c r="I1641">
        <v>0</v>
      </c>
    </row>
    <row r="1642" spans="1:9">
      <c r="A1642" t="s">
        <v>1660</v>
      </c>
      <c r="B1642" t="s">
        <v>8</v>
      </c>
      <c r="C1642" t="str">
        <f t="shared" si="50"/>
        <v>A</v>
      </c>
      <c r="D1642" t="s">
        <v>20</v>
      </c>
      <c r="E1642" t="s">
        <v>16</v>
      </c>
      <c r="F1642" t="str">
        <f t="shared" si="51"/>
        <v>Mobile</v>
      </c>
      <c r="G1642">
        <v>3</v>
      </c>
      <c r="H1642">
        <v>0</v>
      </c>
      <c r="I1642">
        <v>0</v>
      </c>
    </row>
    <row r="1643" spans="1:9">
      <c r="A1643" t="s">
        <v>1661</v>
      </c>
      <c r="B1643" t="s">
        <v>8</v>
      </c>
      <c r="C1643" t="str">
        <f t="shared" si="50"/>
        <v>A</v>
      </c>
      <c r="D1643" t="s">
        <v>13</v>
      </c>
      <c r="E1643" t="s">
        <v>10</v>
      </c>
      <c r="F1643" t="str">
        <f t="shared" si="51"/>
        <v>Mobile</v>
      </c>
      <c r="G1643">
        <v>10</v>
      </c>
      <c r="H1643">
        <v>1</v>
      </c>
      <c r="I1643">
        <v>2946.9</v>
      </c>
    </row>
    <row r="1644" spans="1:9">
      <c r="A1644" t="s">
        <v>1662</v>
      </c>
      <c r="B1644" t="s">
        <v>8</v>
      </c>
      <c r="C1644" t="str">
        <f t="shared" si="50"/>
        <v>A</v>
      </c>
      <c r="D1644" t="s">
        <v>20</v>
      </c>
      <c r="E1644" t="s">
        <v>10</v>
      </c>
      <c r="F1644" t="str">
        <f t="shared" si="51"/>
        <v>Mobile</v>
      </c>
      <c r="G1644">
        <v>4</v>
      </c>
      <c r="H1644">
        <v>0</v>
      </c>
      <c r="I1644">
        <v>0</v>
      </c>
    </row>
    <row r="1645" spans="1:9">
      <c r="A1645" t="s">
        <v>1663</v>
      </c>
      <c r="B1645" t="s">
        <v>8</v>
      </c>
      <c r="C1645" t="str">
        <f t="shared" si="50"/>
        <v>A</v>
      </c>
      <c r="D1645" t="s">
        <v>20</v>
      </c>
      <c r="E1645" t="s">
        <v>10</v>
      </c>
      <c r="F1645" t="str">
        <f t="shared" si="51"/>
        <v>Mobile</v>
      </c>
      <c r="G1645">
        <v>7</v>
      </c>
      <c r="H1645">
        <v>0</v>
      </c>
      <c r="I1645">
        <v>0</v>
      </c>
    </row>
    <row r="1646" spans="1:9">
      <c r="A1646" t="s">
        <v>1664</v>
      </c>
      <c r="B1646" t="s">
        <v>12</v>
      </c>
      <c r="C1646" t="str">
        <f t="shared" si="50"/>
        <v>A</v>
      </c>
      <c r="D1646" t="s">
        <v>20</v>
      </c>
      <c r="E1646" t="s">
        <v>10</v>
      </c>
      <c r="F1646" t="str">
        <f t="shared" si="51"/>
        <v>Mobile</v>
      </c>
      <c r="G1646">
        <v>6</v>
      </c>
      <c r="H1646">
        <v>0</v>
      </c>
      <c r="I1646">
        <v>0</v>
      </c>
    </row>
    <row r="1647" spans="1:9">
      <c r="A1647" t="s">
        <v>1665</v>
      </c>
      <c r="B1647" t="s">
        <v>15</v>
      </c>
      <c r="C1647" t="str">
        <f t="shared" si="50"/>
        <v>B</v>
      </c>
      <c r="D1647" t="s">
        <v>13</v>
      </c>
      <c r="E1647" t="s">
        <v>10</v>
      </c>
      <c r="F1647" t="str">
        <f t="shared" si="51"/>
        <v>Mobile</v>
      </c>
      <c r="G1647">
        <v>4</v>
      </c>
      <c r="H1647">
        <v>0</v>
      </c>
      <c r="I1647">
        <v>0</v>
      </c>
    </row>
    <row r="1648" spans="1:9">
      <c r="A1648" t="s">
        <v>1666</v>
      </c>
      <c r="B1648" t="s">
        <v>8</v>
      </c>
      <c r="C1648" t="str">
        <f t="shared" si="50"/>
        <v>A</v>
      </c>
      <c r="D1648" t="s">
        <v>9</v>
      </c>
      <c r="E1648" t="s">
        <v>10</v>
      </c>
      <c r="F1648" t="str">
        <f t="shared" si="51"/>
        <v>Mobile</v>
      </c>
      <c r="G1648">
        <v>7</v>
      </c>
      <c r="H1648">
        <v>0</v>
      </c>
      <c r="I1648">
        <v>0</v>
      </c>
    </row>
    <row r="1649" spans="1:9">
      <c r="A1649" t="s">
        <v>1667</v>
      </c>
      <c r="B1649" t="s">
        <v>8</v>
      </c>
      <c r="C1649" t="str">
        <f t="shared" si="50"/>
        <v>A</v>
      </c>
      <c r="D1649" t="s">
        <v>18</v>
      </c>
      <c r="E1649" t="s">
        <v>10</v>
      </c>
      <c r="F1649" t="str">
        <f t="shared" si="51"/>
        <v>Mobile</v>
      </c>
      <c r="G1649">
        <v>6</v>
      </c>
      <c r="H1649">
        <v>0</v>
      </c>
      <c r="I1649">
        <v>0</v>
      </c>
    </row>
    <row r="1650" spans="1:9">
      <c r="A1650" t="s">
        <v>1668</v>
      </c>
      <c r="B1650" t="s">
        <v>8</v>
      </c>
      <c r="C1650" t="str">
        <f t="shared" si="50"/>
        <v>A</v>
      </c>
      <c r="D1650" t="s">
        <v>13</v>
      </c>
      <c r="E1650" t="s">
        <v>10</v>
      </c>
      <c r="F1650" t="str">
        <f t="shared" si="51"/>
        <v>Mobile</v>
      </c>
      <c r="G1650">
        <v>3</v>
      </c>
      <c r="H1650">
        <v>0</v>
      </c>
      <c r="I1650">
        <v>0</v>
      </c>
    </row>
    <row r="1651" spans="1:9">
      <c r="A1651" t="s">
        <v>1669</v>
      </c>
      <c r="B1651" t="s">
        <v>15</v>
      </c>
      <c r="C1651" t="str">
        <f t="shared" si="50"/>
        <v>B</v>
      </c>
      <c r="D1651" t="s">
        <v>13</v>
      </c>
      <c r="E1651" t="s">
        <v>23</v>
      </c>
      <c r="F1651" t="str">
        <f t="shared" si="51"/>
        <v>Desktop</v>
      </c>
      <c r="G1651">
        <v>12</v>
      </c>
      <c r="H1651">
        <v>0</v>
      </c>
      <c r="I1651">
        <v>0</v>
      </c>
    </row>
    <row r="1652" spans="1:9">
      <c r="A1652" t="s">
        <v>1670</v>
      </c>
      <c r="B1652" t="s">
        <v>15</v>
      </c>
      <c r="C1652" t="str">
        <f t="shared" si="50"/>
        <v>B</v>
      </c>
      <c r="D1652" t="s">
        <v>20</v>
      </c>
      <c r="E1652" t="s">
        <v>10</v>
      </c>
      <c r="F1652" t="str">
        <f t="shared" si="51"/>
        <v>Mobile</v>
      </c>
      <c r="G1652">
        <v>8</v>
      </c>
      <c r="H1652">
        <v>0</v>
      </c>
      <c r="I1652">
        <v>0</v>
      </c>
    </row>
    <row r="1653" spans="1:9">
      <c r="A1653" t="s">
        <v>1671</v>
      </c>
      <c r="B1653" t="s">
        <v>15</v>
      </c>
      <c r="C1653" t="str">
        <f t="shared" si="50"/>
        <v>B</v>
      </c>
      <c r="D1653" t="s">
        <v>13</v>
      </c>
      <c r="E1653" t="s">
        <v>10</v>
      </c>
      <c r="F1653" t="str">
        <f t="shared" si="51"/>
        <v>Mobile</v>
      </c>
      <c r="G1653">
        <v>3</v>
      </c>
      <c r="H1653">
        <v>0</v>
      </c>
      <c r="I1653">
        <v>0</v>
      </c>
    </row>
    <row r="1654" spans="1:9">
      <c r="A1654" t="s">
        <v>1672</v>
      </c>
      <c r="B1654" t="s">
        <v>15</v>
      </c>
      <c r="C1654" t="str">
        <f t="shared" si="50"/>
        <v>B</v>
      </c>
      <c r="D1654" t="s">
        <v>20</v>
      </c>
      <c r="E1654" t="s">
        <v>23</v>
      </c>
      <c r="F1654" t="str">
        <f t="shared" si="51"/>
        <v>Desktop</v>
      </c>
      <c r="G1654">
        <v>8</v>
      </c>
      <c r="H1654">
        <v>1</v>
      </c>
      <c r="I1654">
        <v>1890.08</v>
      </c>
    </row>
    <row r="1655" spans="1:9">
      <c r="A1655" t="s">
        <v>1673</v>
      </c>
      <c r="B1655" t="s">
        <v>29</v>
      </c>
      <c r="C1655" t="str">
        <f t="shared" si="50"/>
        <v>B</v>
      </c>
      <c r="D1655" t="s">
        <v>13</v>
      </c>
      <c r="E1655" t="s">
        <v>16</v>
      </c>
      <c r="F1655" t="str">
        <f t="shared" si="51"/>
        <v>Mobile</v>
      </c>
      <c r="G1655">
        <v>6</v>
      </c>
      <c r="H1655">
        <v>0</v>
      </c>
      <c r="I1655">
        <v>0</v>
      </c>
    </row>
    <row r="1656" spans="1:9">
      <c r="A1656" t="s">
        <v>1674</v>
      </c>
      <c r="B1656" t="s">
        <v>15</v>
      </c>
      <c r="C1656" t="str">
        <f t="shared" si="50"/>
        <v>B</v>
      </c>
      <c r="D1656" t="s">
        <v>20</v>
      </c>
      <c r="E1656" t="s">
        <v>23</v>
      </c>
      <c r="F1656" t="str">
        <f t="shared" si="51"/>
        <v>Desktop</v>
      </c>
      <c r="G1656">
        <v>7</v>
      </c>
      <c r="H1656">
        <v>0</v>
      </c>
      <c r="I1656">
        <v>0</v>
      </c>
    </row>
    <row r="1657" spans="1:9">
      <c r="A1657" t="s">
        <v>1675</v>
      </c>
      <c r="B1657" t="s">
        <v>8</v>
      </c>
      <c r="C1657" t="str">
        <f t="shared" si="50"/>
        <v>A</v>
      </c>
      <c r="D1657" t="s">
        <v>20</v>
      </c>
      <c r="E1657" t="s">
        <v>10</v>
      </c>
      <c r="F1657" t="str">
        <f t="shared" si="51"/>
        <v>Mobile</v>
      </c>
      <c r="G1657">
        <v>5</v>
      </c>
      <c r="H1657">
        <v>0</v>
      </c>
      <c r="I1657">
        <v>0</v>
      </c>
    </row>
    <row r="1658" spans="1:9">
      <c r="A1658" t="s">
        <v>1676</v>
      </c>
      <c r="B1658" t="s">
        <v>12</v>
      </c>
      <c r="C1658" t="str">
        <f t="shared" si="50"/>
        <v>A</v>
      </c>
      <c r="D1658" t="s">
        <v>20</v>
      </c>
      <c r="E1658" t="s">
        <v>23</v>
      </c>
      <c r="F1658" t="str">
        <f t="shared" si="51"/>
        <v>Desktop</v>
      </c>
      <c r="G1658">
        <v>7</v>
      </c>
      <c r="H1658">
        <v>1</v>
      </c>
      <c r="I1658">
        <v>1087.5899999999999</v>
      </c>
    </row>
    <row r="1659" spans="1:9">
      <c r="A1659" t="s">
        <v>1677</v>
      </c>
      <c r="B1659" t="s">
        <v>8</v>
      </c>
      <c r="C1659" t="str">
        <f t="shared" si="50"/>
        <v>A</v>
      </c>
      <c r="D1659" t="s">
        <v>20</v>
      </c>
      <c r="E1659" t="s">
        <v>10</v>
      </c>
      <c r="F1659" t="str">
        <f t="shared" si="51"/>
        <v>Mobile</v>
      </c>
      <c r="G1659">
        <v>10</v>
      </c>
      <c r="H1659">
        <v>0</v>
      </c>
      <c r="I1659">
        <v>0</v>
      </c>
    </row>
    <row r="1660" spans="1:9">
      <c r="A1660" t="s">
        <v>1678</v>
      </c>
      <c r="B1660" t="s">
        <v>15</v>
      </c>
      <c r="C1660" t="str">
        <f t="shared" si="50"/>
        <v>B</v>
      </c>
      <c r="D1660" t="s">
        <v>20</v>
      </c>
      <c r="E1660" t="s">
        <v>10</v>
      </c>
      <c r="F1660" t="str">
        <f t="shared" si="51"/>
        <v>Mobile</v>
      </c>
      <c r="G1660">
        <v>4</v>
      </c>
      <c r="H1660">
        <v>0</v>
      </c>
      <c r="I1660">
        <v>0</v>
      </c>
    </row>
    <row r="1661" spans="1:9">
      <c r="A1661" t="s">
        <v>1679</v>
      </c>
      <c r="B1661" t="s">
        <v>8</v>
      </c>
      <c r="C1661" t="str">
        <f t="shared" si="50"/>
        <v>A</v>
      </c>
      <c r="D1661" t="s">
        <v>20</v>
      </c>
      <c r="E1661" t="s">
        <v>10</v>
      </c>
      <c r="F1661" t="str">
        <f t="shared" si="51"/>
        <v>Mobile</v>
      </c>
      <c r="G1661">
        <v>4</v>
      </c>
      <c r="H1661">
        <v>0</v>
      </c>
      <c r="I1661">
        <v>0</v>
      </c>
    </row>
    <row r="1662" spans="1:9">
      <c r="A1662" t="s">
        <v>1680</v>
      </c>
      <c r="B1662" t="s">
        <v>15</v>
      </c>
      <c r="C1662" t="str">
        <f t="shared" si="50"/>
        <v>B</v>
      </c>
      <c r="D1662" t="s">
        <v>18</v>
      </c>
      <c r="E1662" t="s">
        <v>23</v>
      </c>
      <c r="F1662" t="str">
        <f t="shared" si="51"/>
        <v>Desktop</v>
      </c>
      <c r="G1662">
        <v>5</v>
      </c>
      <c r="H1662">
        <v>0</v>
      </c>
      <c r="I1662">
        <v>0</v>
      </c>
    </row>
    <row r="1663" spans="1:9">
      <c r="A1663" t="s">
        <v>1681</v>
      </c>
      <c r="B1663" t="s">
        <v>15</v>
      </c>
      <c r="C1663" t="str">
        <f t="shared" si="50"/>
        <v>B</v>
      </c>
      <c r="D1663" t="s">
        <v>13</v>
      </c>
      <c r="E1663" t="s">
        <v>10</v>
      </c>
      <c r="F1663" t="str">
        <f t="shared" si="51"/>
        <v>Mobile</v>
      </c>
      <c r="G1663">
        <v>5</v>
      </c>
      <c r="H1663">
        <v>0</v>
      </c>
      <c r="I1663">
        <v>0</v>
      </c>
    </row>
    <row r="1664" spans="1:9">
      <c r="A1664" t="s">
        <v>1682</v>
      </c>
      <c r="B1664" t="s">
        <v>15</v>
      </c>
      <c r="C1664" t="str">
        <f t="shared" si="50"/>
        <v>B</v>
      </c>
      <c r="D1664" t="s">
        <v>13</v>
      </c>
      <c r="E1664" t="s">
        <v>10</v>
      </c>
      <c r="F1664" t="str">
        <f t="shared" si="51"/>
        <v>Mobile</v>
      </c>
      <c r="G1664">
        <v>5</v>
      </c>
      <c r="H1664">
        <v>0</v>
      </c>
      <c r="I1664">
        <v>0</v>
      </c>
    </row>
    <row r="1665" spans="1:9">
      <c r="A1665" t="s">
        <v>1683</v>
      </c>
      <c r="B1665" t="s">
        <v>15</v>
      </c>
      <c r="C1665" t="str">
        <f t="shared" si="50"/>
        <v>B</v>
      </c>
      <c r="D1665" t="s">
        <v>9</v>
      </c>
      <c r="E1665" t="s">
        <v>10</v>
      </c>
      <c r="F1665" t="str">
        <f t="shared" si="51"/>
        <v>Mobile</v>
      </c>
      <c r="G1665">
        <v>14</v>
      </c>
      <c r="H1665">
        <v>0</v>
      </c>
      <c r="I1665">
        <v>0</v>
      </c>
    </row>
    <row r="1666" spans="1:9">
      <c r="A1666" t="s">
        <v>1684</v>
      </c>
      <c r="B1666" t="s">
        <v>8</v>
      </c>
      <c r="C1666" t="str">
        <f t="shared" ref="C1666:C1729" si="52">IF(OR(B1666="control", B1666="A"), "A", "B")</f>
        <v>A</v>
      </c>
      <c r="D1666" t="s">
        <v>18</v>
      </c>
      <c r="E1666" t="s">
        <v>16</v>
      </c>
      <c r="F1666" t="str">
        <f t="shared" ref="F1666:F1729" si="53">PROPER(E1666)</f>
        <v>Mobile</v>
      </c>
      <c r="G1666">
        <v>10</v>
      </c>
      <c r="H1666">
        <v>1</v>
      </c>
      <c r="I1666">
        <v>1638.51</v>
      </c>
    </row>
    <row r="1667" spans="1:9">
      <c r="A1667" t="s">
        <v>1685</v>
      </c>
      <c r="B1667" t="s">
        <v>8</v>
      </c>
      <c r="C1667" t="str">
        <f t="shared" si="52"/>
        <v>A</v>
      </c>
      <c r="D1667" t="s">
        <v>13</v>
      </c>
      <c r="E1667" t="s">
        <v>23</v>
      </c>
      <c r="F1667" t="str">
        <f t="shared" si="53"/>
        <v>Desktop</v>
      </c>
      <c r="G1667">
        <v>7</v>
      </c>
      <c r="H1667">
        <v>1</v>
      </c>
      <c r="I1667">
        <v>2903.18</v>
      </c>
    </row>
    <row r="1668" spans="1:9">
      <c r="A1668" t="s">
        <v>1686</v>
      </c>
      <c r="B1668" t="s">
        <v>8</v>
      </c>
      <c r="C1668" t="str">
        <f t="shared" si="52"/>
        <v>A</v>
      </c>
      <c r="D1668" t="s">
        <v>9</v>
      </c>
      <c r="E1668" t="s">
        <v>10</v>
      </c>
      <c r="F1668" t="str">
        <f t="shared" si="53"/>
        <v>Mobile</v>
      </c>
      <c r="G1668">
        <v>6</v>
      </c>
      <c r="H1668">
        <v>0</v>
      </c>
      <c r="I1668">
        <v>0</v>
      </c>
    </row>
    <row r="1669" spans="1:9">
      <c r="A1669" t="s">
        <v>1687</v>
      </c>
      <c r="B1669" t="s">
        <v>8</v>
      </c>
      <c r="C1669" t="str">
        <f t="shared" si="52"/>
        <v>A</v>
      </c>
      <c r="D1669" t="s">
        <v>20</v>
      </c>
      <c r="E1669" t="s">
        <v>23</v>
      </c>
      <c r="F1669" t="str">
        <f t="shared" si="53"/>
        <v>Desktop</v>
      </c>
      <c r="G1669">
        <v>2</v>
      </c>
      <c r="H1669">
        <v>0</v>
      </c>
      <c r="I1669">
        <v>0</v>
      </c>
    </row>
    <row r="1670" spans="1:9">
      <c r="A1670" t="s">
        <v>1688</v>
      </c>
      <c r="B1670" t="s">
        <v>15</v>
      </c>
      <c r="C1670" t="str">
        <f t="shared" si="52"/>
        <v>B</v>
      </c>
      <c r="D1670" t="s">
        <v>20</v>
      </c>
      <c r="E1670" t="s">
        <v>23</v>
      </c>
      <c r="F1670" t="str">
        <f t="shared" si="53"/>
        <v>Desktop</v>
      </c>
      <c r="G1670">
        <v>3</v>
      </c>
      <c r="H1670">
        <v>0</v>
      </c>
      <c r="I1670">
        <v>0</v>
      </c>
    </row>
    <row r="1671" spans="1:9">
      <c r="A1671" t="s">
        <v>1689</v>
      </c>
      <c r="B1671" t="s">
        <v>8</v>
      </c>
      <c r="C1671" t="str">
        <f t="shared" si="52"/>
        <v>A</v>
      </c>
      <c r="D1671" t="s">
        <v>20</v>
      </c>
      <c r="E1671" t="s">
        <v>23</v>
      </c>
      <c r="F1671" t="str">
        <f t="shared" si="53"/>
        <v>Desktop</v>
      </c>
      <c r="G1671">
        <v>9</v>
      </c>
      <c r="H1671">
        <v>1</v>
      </c>
      <c r="I1671">
        <v>1204.45</v>
      </c>
    </row>
    <row r="1672" spans="1:9">
      <c r="A1672" t="s">
        <v>1690</v>
      </c>
      <c r="B1672" t="s">
        <v>29</v>
      </c>
      <c r="C1672" t="str">
        <f t="shared" si="52"/>
        <v>B</v>
      </c>
      <c r="D1672" t="s">
        <v>13</v>
      </c>
      <c r="E1672" t="s">
        <v>10</v>
      </c>
      <c r="F1672" t="str">
        <f t="shared" si="53"/>
        <v>Mobile</v>
      </c>
      <c r="G1672">
        <v>8</v>
      </c>
      <c r="H1672">
        <v>0</v>
      </c>
      <c r="I1672">
        <v>0</v>
      </c>
    </row>
    <row r="1673" spans="1:9">
      <c r="A1673" t="s">
        <v>1691</v>
      </c>
      <c r="B1673" t="s">
        <v>15</v>
      </c>
      <c r="C1673" t="str">
        <f t="shared" si="52"/>
        <v>B</v>
      </c>
      <c r="D1673" t="s">
        <v>13</v>
      </c>
      <c r="E1673" t="s">
        <v>16</v>
      </c>
      <c r="F1673" t="str">
        <f t="shared" si="53"/>
        <v>Mobile</v>
      </c>
      <c r="G1673">
        <v>3</v>
      </c>
      <c r="H1673">
        <v>0</v>
      </c>
      <c r="I1673">
        <v>0</v>
      </c>
    </row>
    <row r="1674" spans="1:9">
      <c r="A1674" t="s">
        <v>1692</v>
      </c>
      <c r="B1674" t="s">
        <v>15</v>
      </c>
      <c r="C1674" t="str">
        <f t="shared" si="52"/>
        <v>B</v>
      </c>
      <c r="D1674" t="s">
        <v>20</v>
      </c>
      <c r="E1674" t="s">
        <v>10</v>
      </c>
      <c r="F1674" t="str">
        <f t="shared" si="53"/>
        <v>Mobile</v>
      </c>
      <c r="G1674">
        <v>7</v>
      </c>
      <c r="H1674">
        <v>0</v>
      </c>
      <c r="I1674">
        <v>0</v>
      </c>
    </row>
    <row r="1675" spans="1:9">
      <c r="A1675" t="s">
        <v>1693</v>
      </c>
      <c r="B1675" t="s">
        <v>8</v>
      </c>
      <c r="C1675" t="str">
        <f t="shared" si="52"/>
        <v>A</v>
      </c>
      <c r="D1675" t="s">
        <v>20</v>
      </c>
      <c r="E1675" t="s">
        <v>23</v>
      </c>
      <c r="F1675" t="str">
        <f t="shared" si="53"/>
        <v>Desktop</v>
      </c>
      <c r="G1675">
        <v>7</v>
      </c>
      <c r="H1675">
        <v>0</v>
      </c>
      <c r="I1675">
        <v>0</v>
      </c>
    </row>
    <row r="1676" spans="1:9">
      <c r="A1676" t="s">
        <v>1694</v>
      </c>
      <c r="B1676" t="s">
        <v>15</v>
      </c>
      <c r="C1676" t="str">
        <f t="shared" si="52"/>
        <v>B</v>
      </c>
      <c r="D1676" t="s">
        <v>13</v>
      </c>
      <c r="E1676" t="s">
        <v>10</v>
      </c>
      <c r="F1676" t="str">
        <f t="shared" si="53"/>
        <v>Mobile</v>
      </c>
      <c r="G1676">
        <v>4</v>
      </c>
      <c r="H1676">
        <v>1</v>
      </c>
      <c r="I1676">
        <v>2452.14</v>
      </c>
    </row>
    <row r="1677" spans="1:9">
      <c r="A1677" t="s">
        <v>1695</v>
      </c>
      <c r="B1677" t="s">
        <v>12</v>
      </c>
      <c r="C1677" t="str">
        <f t="shared" si="52"/>
        <v>A</v>
      </c>
      <c r="D1677" t="s">
        <v>20</v>
      </c>
      <c r="E1677" t="s">
        <v>10</v>
      </c>
      <c r="F1677" t="str">
        <f t="shared" si="53"/>
        <v>Mobile</v>
      </c>
      <c r="G1677">
        <v>8</v>
      </c>
      <c r="H1677">
        <v>0</v>
      </c>
      <c r="I1677">
        <v>0</v>
      </c>
    </row>
    <row r="1678" spans="1:9">
      <c r="A1678" t="s">
        <v>1696</v>
      </c>
      <c r="B1678" t="s">
        <v>15</v>
      </c>
      <c r="C1678" t="str">
        <f t="shared" si="52"/>
        <v>B</v>
      </c>
      <c r="D1678" t="s">
        <v>13</v>
      </c>
      <c r="E1678" t="s">
        <v>10</v>
      </c>
      <c r="F1678" t="str">
        <f t="shared" si="53"/>
        <v>Mobile</v>
      </c>
      <c r="G1678">
        <v>10</v>
      </c>
      <c r="H1678">
        <v>1</v>
      </c>
      <c r="I1678">
        <v>2012.54</v>
      </c>
    </row>
    <row r="1679" spans="1:9">
      <c r="A1679" t="s">
        <v>1697</v>
      </c>
      <c r="B1679" t="s">
        <v>15</v>
      </c>
      <c r="C1679" t="str">
        <f t="shared" si="52"/>
        <v>B</v>
      </c>
      <c r="D1679" t="s">
        <v>13</v>
      </c>
      <c r="E1679" t="s">
        <v>23</v>
      </c>
      <c r="F1679" t="str">
        <f t="shared" si="53"/>
        <v>Desktop</v>
      </c>
      <c r="G1679">
        <v>12</v>
      </c>
      <c r="H1679">
        <v>1</v>
      </c>
      <c r="I1679">
        <v>1708.86</v>
      </c>
    </row>
    <row r="1680" spans="1:9">
      <c r="A1680" t="s">
        <v>1698</v>
      </c>
      <c r="B1680" t="s">
        <v>15</v>
      </c>
      <c r="C1680" t="str">
        <f t="shared" si="52"/>
        <v>B</v>
      </c>
      <c r="D1680" t="s">
        <v>13</v>
      </c>
      <c r="E1680" t="s">
        <v>10</v>
      </c>
      <c r="F1680" t="str">
        <f t="shared" si="53"/>
        <v>Mobile</v>
      </c>
      <c r="G1680">
        <v>5</v>
      </c>
      <c r="H1680">
        <v>0</v>
      </c>
      <c r="I1680">
        <v>0</v>
      </c>
    </row>
    <row r="1681" spans="1:9">
      <c r="A1681" t="s">
        <v>1699</v>
      </c>
      <c r="B1681" t="s">
        <v>8</v>
      </c>
      <c r="C1681" t="str">
        <f t="shared" si="52"/>
        <v>A</v>
      </c>
      <c r="D1681" t="s">
        <v>13</v>
      </c>
      <c r="E1681" t="s">
        <v>23</v>
      </c>
      <c r="F1681" t="str">
        <f t="shared" si="53"/>
        <v>Desktop</v>
      </c>
      <c r="G1681">
        <v>6</v>
      </c>
      <c r="H1681">
        <v>0</v>
      </c>
      <c r="I1681">
        <v>0</v>
      </c>
    </row>
    <row r="1682" spans="1:9">
      <c r="A1682" t="s">
        <v>1700</v>
      </c>
      <c r="B1682" t="s">
        <v>15</v>
      </c>
      <c r="C1682" t="str">
        <f t="shared" si="52"/>
        <v>B</v>
      </c>
      <c r="D1682" t="s">
        <v>9</v>
      </c>
      <c r="E1682" t="s">
        <v>10</v>
      </c>
      <c r="F1682" t="str">
        <f t="shared" si="53"/>
        <v>Mobile</v>
      </c>
      <c r="G1682">
        <v>7</v>
      </c>
      <c r="H1682">
        <v>0</v>
      </c>
      <c r="I1682">
        <v>0</v>
      </c>
    </row>
    <row r="1683" spans="1:9">
      <c r="A1683" t="s">
        <v>1701</v>
      </c>
      <c r="B1683" t="s">
        <v>8</v>
      </c>
      <c r="C1683" t="str">
        <f t="shared" si="52"/>
        <v>A</v>
      </c>
      <c r="D1683" t="s">
        <v>13</v>
      </c>
      <c r="E1683" t="s">
        <v>23</v>
      </c>
      <c r="F1683" t="str">
        <f t="shared" si="53"/>
        <v>Desktop</v>
      </c>
      <c r="G1683">
        <v>6</v>
      </c>
      <c r="H1683">
        <v>0</v>
      </c>
      <c r="I1683">
        <v>0</v>
      </c>
    </row>
    <row r="1684" spans="1:9">
      <c r="A1684" t="s">
        <v>1702</v>
      </c>
      <c r="B1684" t="s">
        <v>8</v>
      </c>
      <c r="C1684" t="str">
        <f t="shared" si="52"/>
        <v>A</v>
      </c>
      <c r="D1684" t="s">
        <v>13</v>
      </c>
      <c r="E1684" t="s">
        <v>23</v>
      </c>
      <c r="F1684" t="str">
        <f t="shared" si="53"/>
        <v>Desktop</v>
      </c>
      <c r="G1684">
        <v>6</v>
      </c>
      <c r="H1684">
        <v>0</v>
      </c>
      <c r="I1684">
        <v>0</v>
      </c>
    </row>
    <row r="1685" spans="1:9">
      <c r="A1685" t="s">
        <v>1703</v>
      </c>
      <c r="B1685" t="s">
        <v>8</v>
      </c>
      <c r="C1685" t="str">
        <f t="shared" si="52"/>
        <v>A</v>
      </c>
      <c r="D1685" t="s">
        <v>13</v>
      </c>
      <c r="E1685" t="s">
        <v>23</v>
      </c>
      <c r="F1685" t="str">
        <f t="shared" si="53"/>
        <v>Desktop</v>
      </c>
      <c r="G1685">
        <v>4</v>
      </c>
      <c r="H1685">
        <v>0</v>
      </c>
      <c r="I1685">
        <v>0</v>
      </c>
    </row>
    <row r="1686" spans="1:9">
      <c r="A1686" t="s">
        <v>1704</v>
      </c>
      <c r="B1686" t="s">
        <v>8</v>
      </c>
      <c r="C1686" t="str">
        <f t="shared" si="52"/>
        <v>A</v>
      </c>
      <c r="D1686" t="s">
        <v>20</v>
      </c>
      <c r="E1686" t="s">
        <v>23</v>
      </c>
      <c r="F1686" t="str">
        <f t="shared" si="53"/>
        <v>Desktop</v>
      </c>
      <c r="G1686">
        <v>7</v>
      </c>
      <c r="H1686">
        <v>0</v>
      </c>
      <c r="I1686">
        <v>0</v>
      </c>
    </row>
    <row r="1687" spans="1:9">
      <c r="A1687" t="s">
        <v>1705</v>
      </c>
      <c r="B1687" t="s">
        <v>8</v>
      </c>
      <c r="C1687" t="str">
        <f t="shared" si="52"/>
        <v>A</v>
      </c>
      <c r="D1687" t="s">
        <v>20</v>
      </c>
      <c r="E1687" t="s">
        <v>23</v>
      </c>
      <c r="F1687" t="str">
        <f t="shared" si="53"/>
        <v>Desktop</v>
      </c>
      <c r="G1687">
        <v>3</v>
      </c>
      <c r="H1687">
        <v>0</v>
      </c>
      <c r="I1687">
        <v>0</v>
      </c>
    </row>
    <row r="1688" spans="1:9">
      <c r="A1688" t="s">
        <v>1706</v>
      </c>
      <c r="B1688" t="s">
        <v>8</v>
      </c>
      <c r="C1688" t="str">
        <f t="shared" si="52"/>
        <v>A</v>
      </c>
      <c r="D1688" t="s">
        <v>20</v>
      </c>
      <c r="E1688" t="s">
        <v>10</v>
      </c>
      <c r="F1688" t="str">
        <f t="shared" si="53"/>
        <v>Mobile</v>
      </c>
      <c r="G1688">
        <v>6</v>
      </c>
      <c r="H1688">
        <v>0</v>
      </c>
      <c r="I1688">
        <v>0</v>
      </c>
    </row>
    <row r="1689" spans="1:9">
      <c r="A1689" t="s">
        <v>1707</v>
      </c>
      <c r="B1689" t="s">
        <v>29</v>
      </c>
      <c r="C1689" t="str">
        <f t="shared" si="52"/>
        <v>B</v>
      </c>
      <c r="D1689" t="s">
        <v>13</v>
      </c>
      <c r="E1689" t="s">
        <v>23</v>
      </c>
      <c r="F1689" t="str">
        <f t="shared" si="53"/>
        <v>Desktop</v>
      </c>
      <c r="G1689">
        <v>5</v>
      </c>
      <c r="H1689">
        <v>0</v>
      </c>
      <c r="I1689">
        <v>0</v>
      </c>
    </row>
    <row r="1690" spans="1:9">
      <c r="A1690" t="s">
        <v>1708</v>
      </c>
      <c r="B1690" t="s">
        <v>15</v>
      </c>
      <c r="C1690" t="str">
        <f t="shared" si="52"/>
        <v>B</v>
      </c>
      <c r="D1690" t="s">
        <v>13</v>
      </c>
      <c r="E1690" t="s">
        <v>10</v>
      </c>
      <c r="F1690" t="str">
        <f t="shared" si="53"/>
        <v>Mobile</v>
      </c>
      <c r="G1690">
        <v>4</v>
      </c>
      <c r="H1690">
        <v>0</v>
      </c>
      <c r="I1690">
        <v>0</v>
      </c>
    </row>
    <row r="1691" spans="1:9">
      <c r="A1691" t="s">
        <v>1709</v>
      </c>
      <c r="B1691" t="s">
        <v>29</v>
      </c>
      <c r="C1691" t="str">
        <f t="shared" si="52"/>
        <v>B</v>
      </c>
      <c r="D1691" t="s">
        <v>9</v>
      </c>
      <c r="E1691" t="s">
        <v>23</v>
      </c>
      <c r="F1691" t="str">
        <f t="shared" si="53"/>
        <v>Desktop</v>
      </c>
      <c r="G1691">
        <v>2</v>
      </c>
      <c r="H1691">
        <v>0</v>
      </c>
      <c r="I1691">
        <v>0</v>
      </c>
    </row>
    <row r="1692" spans="1:9">
      <c r="A1692" t="s">
        <v>1710</v>
      </c>
      <c r="B1692" t="s">
        <v>8</v>
      </c>
      <c r="C1692" t="str">
        <f t="shared" si="52"/>
        <v>A</v>
      </c>
      <c r="D1692" t="s">
        <v>20</v>
      </c>
      <c r="E1692" t="s">
        <v>23</v>
      </c>
      <c r="F1692" t="str">
        <f t="shared" si="53"/>
        <v>Desktop</v>
      </c>
      <c r="G1692">
        <v>6</v>
      </c>
      <c r="H1692">
        <v>0</v>
      </c>
      <c r="I1692">
        <v>0</v>
      </c>
    </row>
    <row r="1693" spans="1:9">
      <c r="A1693" t="s">
        <v>1711</v>
      </c>
      <c r="B1693" t="s">
        <v>8</v>
      </c>
      <c r="C1693" t="str">
        <f t="shared" si="52"/>
        <v>A</v>
      </c>
      <c r="D1693" t="s">
        <v>20</v>
      </c>
      <c r="E1693" t="s">
        <v>10</v>
      </c>
      <c r="F1693" t="str">
        <f t="shared" si="53"/>
        <v>Mobile</v>
      </c>
      <c r="G1693">
        <v>8</v>
      </c>
      <c r="H1693">
        <v>1</v>
      </c>
      <c r="I1693">
        <v>1464.56</v>
      </c>
    </row>
    <row r="1694" spans="1:9">
      <c r="A1694" t="s">
        <v>1712</v>
      </c>
      <c r="B1694" t="s">
        <v>15</v>
      </c>
      <c r="C1694" t="str">
        <f t="shared" si="52"/>
        <v>B</v>
      </c>
      <c r="D1694" t="s">
        <v>18</v>
      </c>
      <c r="E1694" t="s">
        <v>10</v>
      </c>
      <c r="F1694" t="str">
        <f t="shared" si="53"/>
        <v>Mobile</v>
      </c>
      <c r="G1694">
        <v>7</v>
      </c>
      <c r="H1694">
        <v>0</v>
      </c>
      <c r="I1694">
        <v>0</v>
      </c>
    </row>
    <row r="1695" spans="1:9">
      <c r="A1695" t="s">
        <v>1713</v>
      </c>
      <c r="B1695" t="s">
        <v>8</v>
      </c>
      <c r="C1695" t="str">
        <f t="shared" si="52"/>
        <v>A</v>
      </c>
      <c r="D1695" t="s">
        <v>20</v>
      </c>
      <c r="E1695" t="s">
        <v>10</v>
      </c>
      <c r="F1695" t="str">
        <f t="shared" si="53"/>
        <v>Mobile</v>
      </c>
      <c r="G1695">
        <v>2</v>
      </c>
      <c r="H1695">
        <v>0</v>
      </c>
      <c r="I1695">
        <v>0</v>
      </c>
    </row>
    <row r="1696" spans="1:9">
      <c r="A1696" t="s">
        <v>1714</v>
      </c>
      <c r="B1696" t="s">
        <v>8</v>
      </c>
      <c r="C1696" t="str">
        <f t="shared" si="52"/>
        <v>A</v>
      </c>
      <c r="D1696" t="s">
        <v>13</v>
      </c>
      <c r="E1696" t="s">
        <v>23</v>
      </c>
      <c r="F1696" t="str">
        <f t="shared" si="53"/>
        <v>Desktop</v>
      </c>
      <c r="G1696">
        <v>11</v>
      </c>
      <c r="H1696">
        <v>0</v>
      </c>
      <c r="I1696">
        <v>0</v>
      </c>
    </row>
    <row r="1697" spans="1:9">
      <c r="A1697" t="s">
        <v>1715</v>
      </c>
      <c r="B1697" t="s">
        <v>15</v>
      </c>
      <c r="C1697" t="str">
        <f t="shared" si="52"/>
        <v>B</v>
      </c>
      <c r="D1697" t="s">
        <v>13</v>
      </c>
      <c r="E1697" t="s">
        <v>33</v>
      </c>
      <c r="F1697" t="str">
        <f t="shared" si="53"/>
        <v>Desktop</v>
      </c>
      <c r="G1697">
        <v>9</v>
      </c>
      <c r="H1697">
        <v>0</v>
      </c>
      <c r="I1697">
        <v>0</v>
      </c>
    </row>
    <row r="1698" spans="1:9">
      <c r="A1698" t="s">
        <v>1716</v>
      </c>
      <c r="B1698" t="s">
        <v>8</v>
      </c>
      <c r="C1698" t="str">
        <f t="shared" si="52"/>
        <v>A</v>
      </c>
      <c r="D1698" t="s">
        <v>13</v>
      </c>
      <c r="E1698" t="s">
        <v>23</v>
      </c>
      <c r="F1698" t="str">
        <f t="shared" si="53"/>
        <v>Desktop</v>
      </c>
      <c r="G1698">
        <v>6</v>
      </c>
      <c r="H1698">
        <v>0</v>
      </c>
      <c r="I1698">
        <v>0</v>
      </c>
    </row>
    <row r="1699" spans="1:9">
      <c r="A1699" t="s">
        <v>1717</v>
      </c>
      <c r="B1699" t="s">
        <v>15</v>
      </c>
      <c r="C1699" t="str">
        <f t="shared" si="52"/>
        <v>B</v>
      </c>
      <c r="D1699" t="s">
        <v>20</v>
      </c>
      <c r="E1699" t="s">
        <v>23</v>
      </c>
      <c r="F1699" t="str">
        <f t="shared" si="53"/>
        <v>Desktop</v>
      </c>
      <c r="G1699">
        <v>7</v>
      </c>
      <c r="H1699">
        <v>0</v>
      </c>
      <c r="I1699">
        <v>0</v>
      </c>
    </row>
    <row r="1700" spans="1:9">
      <c r="A1700" t="s">
        <v>1718</v>
      </c>
      <c r="B1700" t="s">
        <v>15</v>
      </c>
      <c r="C1700" t="str">
        <f t="shared" si="52"/>
        <v>B</v>
      </c>
      <c r="D1700" t="s">
        <v>20</v>
      </c>
      <c r="E1700" t="s">
        <v>33</v>
      </c>
      <c r="F1700" t="str">
        <f t="shared" si="53"/>
        <v>Desktop</v>
      </c>
      <c r="G1700">
        <v>8</v>
      </c>
      <c r="H1700">
        <v>0</v>
      </c>
      <c r="I1700">
        <v>0</v>
      </c>
    </row>
    <row r="1701" spans="1:9">
      <c r="A1701" t="s">
        <v>1719</v>
      </c>
      <c r="B1701" t="s">
        <v>8</v>
      </c>
      <c r="C1701" t="str">
        <f t="shared" si="52"/>
        <v>A</v>
      </c>
      <c r="D1701" t="s">
        <v>20</v>
      </c>
      <c r="E1701" t="s">
        <v>10</v>
      </c>
      <c r="F1701" t="str">
        <f t="shared" si="53"/>
        <v>Mobile</v>
      </c>
      <c r="G1701">
        <v>7</v>
      </c>
      <c r="H1701">
        <v>0</v>
      </c>
      <c r="I1701">
        <v>0</v>
      </c>
    </row>
    <row r="1702" spans="1:9">
      <c r="A1702" t="s">
        <v>1720</v>
      </c>
      <c r="B1702" t="s">
        <v>8</v>
      </c>
      <c r="C1702" t="str">
        <f t="shared" si="52"/>
        <v>A</v>
      </c>
      <c r="D1702" t="s">
        <v>13</v>
      </c>
      <c r="E1702" t="s">
        <v>10</v>
      </c>
      <c r="F1702" t="str">
        <f t="shared" si="53"/>
        <v>Mobile</v>
      </c>
      <c r="G1702">
        <v>3</v>
      </c>
      <c r="H1702">
        <v>0</v>
      </c>
      <c r="I1702">
        <v>0</v>
      </c>
    </row>
    <row r="1703" spans="1:9">
      <c r="A1703" t="s">
        <v>1721</v>
      </c>
      <c r="B1703" t="s">
        <v>15</v>
      </c>
      <c r="C1703" t="str">
        <f t="shared" si="52"/>
        <v>B</v>
      </c>
      <c r="D1703" t="s">
        <v>13</v>
      </c>
      <c r="E1703" t="s">
        <v>23</v>
      </c>
      <c r="F1703" t="str">
        <f t="shared" si="53"/>
        <v>Desktop</v>
      </c>
      <c r="G1703">
        <v>6</v>
      </c>
      <c r="H1703">
        <v>0</v>
      </c>
      <c r="I1703">
        <v>0</v>
      </c>
    </row>
    <row r="1704" spans="1:9">
      <c r="A1704" t="s">
        <v>1722</v>
      </c>
      <c r="B1704" t="s">
        <v>8</v>
      </c>
      <c r="C1704" t="str">
        <f t="shared" si="52"/>
        <v>A</v>
      </c>
      <c r="D1704" t="s">
        <v>20</v>
      </c>
      <c r="E1704" t="s">
        <v>16</v>
      </c>
      <c r="F1704" t="str">
        <f t="shared" si="53"/>
        <v>Mobile</v>
      </c>
      <c r="G1704">
        <v>6</v>
      </c>
      <c r="H1704">
        <v>1</v>
      </c>
      <c r="I1704">
        <v>1123.05</v>
      </c>
    </row>
    <row r="1705" spans="1:9">
      <c r="A1705" t="s">
        <v>1723</v>
      </c>
      <c r="B1705" t="s">
        <v>8</v>
      </c>
      <c r="C1705" t="str">
        <f t="shared" si="52"/>
        <v>A</v>
      </c>
      <c r="D1705" t="s">
        <v>13</v>
      </c>
      <c r="E1705" t="s">
        <v>16</v>
      </c>
      <c r="F1705" t="str">
        <f t="shared" si="53"/>
        <v>Mobile</v>
      </c>
      <c r="G1705">
        <v>6</v>
      </c>
      <c r="H1705">
        <v>0</v>
      </c>
      <c r="I1705">
        <v>0</v>
      </c>
    </row>
    <row r="1706" spans="1:9">
      <c r="A1706" t="s">
        <v>1724</v>
      </c>
      <c r="B1706" t="s">
        <v>29</v>
      </c>
      <c r="C1706" t="str">
        <f t="shared" si="52"/>
        <v>B</v>
      </c>
      <c r="D1706" t="s">
        <v>9</v>
      </c>
      <c r="E1706" t="s">
        <v>10</v>
      </c>
      <c r="F1706" t="str">
        <f t="shared" si="53"/>
        <v>Mobile</v>
      </c>
      <c r="G1706">
        <v>8</v>
      </c>
      <c r="H1706">
        <v>0</v>
      </c>
      <c r="I1706">
        <v>0</v>
      </c>
    </row>
    <row r="1707" spans="1:9">
      <c r="A1707" t="s">
        <v>1725</v>
      </c>
      <c r="B1707" t="s">
        <v>8</v>
      </c>
      <c r="C1707" t="str">
        <f t="shared" si="52"/>
        <v>A</v>
      </c>
      <c r="D1707" t="s">
        <v>20</v>
      </c>
      <c r="E1707" t="s">
        <v>10</v>
      </c>
      <c r="F1707" t="str">
        <f t="shared" si="53"/>
        <v>Mobile</v>
      </c>
      <c r="G1707">
        <v>7</v>
      </c>
      <c r="H1707">
        <v>0</v>
      </c>
      <c r="I1707">
        <v>0</v>
      </c>
    </row>
    <row r="1708" spans="1:9">
      <c r="A1708" t="s">
        <v>1726</v>
      </c>
      <c r="B1708" t="s">
        <v>15</v>
      </c>
      <c r="C1708" t="str">
        <f t="shared" si="52"/>
        <v>B</v>
      </c>
      <c r="D1708" t="s">
        <v>13</v>
      </c>
      <c r="E1708" t="s">
        <v>10</v>
      </c>
      <c r="F1708" t="str">
        <f t="shared" si="53"/>
        <v>Mobile</v>
      </c>
      <c r="G1708">
        <v>8</v>
      </c>
      <c r="H1708">
        <v>0</v>
      </c>
      <c r="I1708">
        <v>0</v>
      </c>
    </row>
    <row r="1709" spans="1:9">
      <c r="A1709" t="s">
        <v>1727</v>
      </c>
      <c r="B1709" t="s">
        <v>29</v>
      </c>
      <c r="C1709" t="str">
        <f t="shared" si="52"/>
        <v>B</v>
      </c>
      <c r="D1709" t="s">
        <v>13</v>
      </c>
      <c r="E1709" t="s">
        <v>10</v>
      </c>
      <c r="F1709" t="str">
        <f t="shared" si="53"/>
        <v>Mobile</v>
      </c>
      <c r="G1709">
        <v>1</v>
      </c>
      <c r="H1709">
        <v>0</v>
      </c>
      <c r="I1709">
        <v>0</v>
      </c>
    </row>
    <row r="1710" spans="1:9">
      <c r="A1710" t="s">
        <v>1728</v>
      </c>
      <c r="B1710" t="s">
        <v>8</v>
      </c>
      <c r="C1710" t="str">
        <f t="shared" si="52"/>
        <v>A</v>
      </c>
      <c r="D1710" t="s">
        <v>20</v>
      </c>
      <c r="E1710" t="s">
        <v>10</v>
      </c>
      <c r="F1710" t="str">
        <f t="shared" si="53"/>
        <v>Mobile</v>
      </c>
      <c r="G1710">
        <v>8</v>
      </c>
      <c r="H1710">
        <v>0</v>
      </c>
      <c r="I1710">
        <v>0</v>
      </c>
    </row>
    <row r="1711" spans="1:9">
      <c r="A1711" t="s">
        <v>1729</v>
      </c>
      <c r="B1711" t="s">
        <v>8</v>
      </c>
      <c r="C1711" t="str">
        <f t="shared" si="52"/>
        <v>A</v>
      </c>
      <c r="D1711" t="s">
        <v>20</v>
      </c>
      <c r="E1711" t="s">
        <v>23</v>
      </c>
      <c r="F1711" t="str">
        <f t="shared" si="53"/>
        <v>Desktop</v>
      </c>
      <c r="G1711">
        <v>4</v>
      </c>
      <c r="H1711">
        <v>0</v>
      </c>
      <c r="I1711">
        <v>0</v>
      </c>
    </row>
    <row r="1712" spans="1:9">
      <c r="A1712" t="s">
        <v>1730</v>
      </c>
      <c r="B1712" t="s">
        <v>8</v>
      </c>
      <c r="C1712" t="str">
        <f t="shared" si="52"/>
        <v>A</v>
      </c>
      <c r="D1712" t="s">
        <v>13</v>
      </c>
      <c r="E1712" t="s">
        <v>10</v>
      </c>
      <c r="F1712" t="str">
        <f t="shared" si="53"/>
        <v>Mobile</v>
      </c>
      <c r="G1712">
        <v>7</v>
      </c>
      <c r="H1712">
        <v>0</v>
      </c>
      <c r="I1712">
        <v>0</v>
      </c>
    </row>
    <row r="1713" spans="1:9">
      <c r="A1713" t="s">
        <v>1731</v>
      </c>
      <c r="B1713" t="s">
        <v>8</v>
      </c>
      <c r="C1713" t="str">
        <f t="shared" si="52"/>
        <v>A</v>
      </c>
      <c r="D1713" t="s">
        <v>9</v>
      </c>
      <c r="E1713" t="s">
        <v>16</v>
      </c>
      <c r="F1713" t="str">
        <f t="shared" si="53"/>
        <v>Mobile</v>
      </c>
      <c r="G1713">
        <v>4</v>
      </c>
      <c r="H1713">
        <v>1</v>
      </c>
      <c r="I1713">
        <v>4830.9799999999996</v>
      </c>
    </row>
    <row r="1714" spans="1:9">
      <c r="A1714" t="s">
        <v>1732</v>
      </c>
      <c r="B1714" t="s">
        <v>8</v>
      </c>
      <c r="C1714" t="str">
        <f t="shared" si="52"/>
        <v>A</v>
      </c>
      <c r="D1714" t="s">
        <v>9</v>
      </c>
      <c r="E1714" t="s">
        <v>10</v>
      </c>
      <c r="F1714" t="str">
        <f t="shared" si="53"/>
        <v>Mobile</v>
      </c>
      <c r="G1714">
        <v>8</v>
      </c>
      <c r="H1714">
        <v>0</v>
      </c>
      <c r="I1714">
        <v>0</v>
      </c>
    </row>
    <row r="1715" spans="1:9">
      <c r="A1715" t="s">
        <v>1733</v>
      </c>
      <c r="B1715" t="s">
        <v>15</v>
      </c>
      <c r="C1715" t="str">
        <f t="shared" si="52"/>
        <v>B</v>
      </c>
      <c r="D1715" t="s">
        <v>13</v>
      </c>
      <c r="E1715" t="s">
        <v>23</v>
      </c>
      <c r="F1715" t="str">
        <f t="shared" si="53"/>
        <v>Desktop</v>
      </c>
      <c r="G1715">
        <v>5</v>
      </c>
      <c r="H1715">
        <v>0</v>
      </c>
      <c r="I1715">
        <v>0</v>
      </c>
    </row>
    <row r="1716" spans="1:9">
      <c r="A1716" t="s">
        <v>1734</v>
      </c>
      <c r="B1716" t="s">
        <v>8</v>
      </c>
      <c r="C1716" t="str">
        <f t="shared" si="52"/>
        <v>A</v>
      </c>
      <c r="D1716" t="s">
        <v>13</v>
      </c>
      <c r="E1716" t="s">
        <v>10</v>
      </c>
      <c r="F1716" t="str">
        <f t="shared" si="53"/>
        <v>Mobile</v>
      </c>
      <c r="G1716">
        <v>7</v>
      </c>
      <c r="H1716">
        <v>0</v>
      </c>
      <c r="I1716">
        <v>0</v>
      </c>
    </row>
    <row r="1717" spans="1:9">
      <c r="A1717" t="s">
        <v>1735</v>
      </c>
      <c r="B1717" t="s">
        <v>15</v>
      </c>
      <c r="C1717" t="str">
        <f t="shared" si="52"/>
        <v>B</v>
      </c>
      <c r="D1717" t="s">
        <v>20</v>
      </c>
      <c r="E1717" t="s">
        <v>10</v>
      </c>
      <c r="F1717" t="str">
        <f t="shared" si="53"/>
        <v>Mobile</v>
      </c>
      <c r="G1717">
        <v>5</v>
      </c>
      <c r="H1717">
        <v>1</v>
      </c>
      <c r="I1717">
        <v>1382.55</v>
      </c>
    </row>
    <row r="1718" spans="1:9">
      <c r="A1718" t="s">
        <v>1736</v>
      </c>
      <c r="B1718" t="s">
        <v>29</v>
      </c>
      <c r="C1718" t="str">
        <f t="shared" si="52"/>
        <v>B</v>
      </c>
      <c r="D1718" t="s">
        <v>13</v>
      </c>
      <c r="E1718" t="s">
        <v>10</v>
      </c>
      <c r="F1718" t="str">
        <f t="shared" si="53"/>
        <v>Mobile</v>
      </c>
      <c r="G1718">
        <v>9</v>
      </c>
      <c r="H1718">
        <v>0</v>
      </c>
      <c r="I1718">
        <v>0</v>
      </c>
    </row>
    <row r="1719" spans="1:9">
      <c r="A1719" t="s">
        <v>1737</v>
      </c>
      <c r="B1719" t="s">
        <v>15</v>
      </c>
      <c r="C1719" t="str">
        <f t="shared" si="52"/>
        <v>B</v>
      </c>
      <c r="D1719" t="s">
        <v>13</v>
      </c>
      <c r="E1719" t="s">
        <v>33</v>
      </c>
      <c r="F1719" t="str">
        <f t="shared" si="53"/>
        <v>Desktop</v>
      </c>
      <c r="G1719">
        <v>8</v>
      </c>
      <c r="H1719">
        <v>0</v>
      </c>
      <c r="I1719">
        <v>0</v>
      </c>
    </row>
    <row r="1720" spans="1:9">
      <c r="A1720" t="s">
        <v>1738</v>
      </c>
      <c r="B1720" t="s">
        <v>15</v>
      </c>
      <c r="C1720" t="str">
        <f t="shared" si="52"/>
        <v>B</v>
      </c>
      <c r="D1720" t="s">
        <v>20</v>
      </c>
      <c r="E1720" t="s">
        <v>23</v>
      </c>
      <c r="F1720" t="str">
        <f t="shared" si="53"/>
        <v>Desktop</v>
      </c>
      <c r="G1720">
        <v>3</v>
      </c>
      <c r="H1720">
        <v>0</v>
      </c>
      <c r="I1720">
        <v>0</v>
      </c>
    </row>
    <row r="1721" spans="1:9">
      <c r="A1721" t="s">
        <v>1739</v>
      </c>
      <c r="B1721" t="s">
        <v>8</v>
      </c>
      <c r="C1721" t="str">
        <f t="shared" si="52"/>
        <v>A</v>
      </c>
      <c r="D1721" t="s">
        <v>13</v>
      </c>
      <c r="E1721" t="s">
        <v>10</v>
      </c>
      <c r="F1721" t="str">
        <f t="shared" si="53"/>
        <v>Mobile</v>
      </c>
      <c r="G1721">
        <v>4</v>
      </c>
      <c r="H1721">
        <v>0</v>
      </c>
      <c r="I1721">
        <v>0</v>
      </c>
    </row>
    <row r="1722" spans="1:9">
      <c r="A1722" t="s">
        <v>1740</v>
      </c>
      <c r="B1722" t="s">
        <v>15</v>
      </c>
      <c r="C1722" t="str">
        <f t="shared" si="52"/>
        <v>B</v>
      </c>
      <c r="D1722" t="s">
        <v>13</v>
      </c>
      <c r="E1722" t="s">
        <v>10</v>
      </c>
      <c r="F1722" t="str">
        <f t="shared" si="53"/>
        <v>Mobile</v>
      </c>
      <c r="G1722">
        <v>9</v>
      </c>
      <c r="H1722">
        <v>1</v>
      </c>
      <c r="I1722">
        <v>2526.5100000000002</v>
      </c>
    </row>
    <row r="1723" spans="1:9">
      <c r="A1723" t="s">
        <v>1741</v>
      </c>
      <c r="B1723" t="s">
        <v>15</v>
      </c>
      <c r="C1723" t="str">
        <f t="shared" si="52"/>
        <v>B</v>
      </c>
      <c r="D1723" t="s">
        <v>20</v>
      </c>
      <c r="E1723" t="s">
        <v>33</v>
      </c>
      <c r="F1723" t="str">
        <f t="shared" si="53"/>
        <v>Desktop</v>
      </c>
      <c r="G1723">
        <v>4</v>
      </c>
      <c r="H1723">
        <v>1</v>
      </c>
      <c r="I1723">
        <v>1103.1300000000001</v>
      </c>
    </row>
    <row r="1724" spans="1:9">
      <c r="A1724" t="s">
        <v>1742</v>
      </c>
      <c r="B1724" t="s">
        <v>8</v>
      </c>
      <c r="C1724" t="str">
        <f t="shared" si="52"/>
        <v>A</v>
      </c>
      <c r="D1724" t="s">
        <v>9</v>
      </c>
      <c r="E1724" t="s">
        <v>10</v>
      </c>
      <c r="F1724" t="str">
        <f t="shared" si="53"/>
        <v>Mobile</v>
      </c>
      <c r="G1724">
        <v>1</v>
      </c>
      <c r="H1724">
        <v>0</v>
      </c>
      <c r="I1724">
        <v>0</v>
      </c>
    </row>
    <row r="1725" spans="1:9">
      <c r="A1725" t="s">
        <v>1743</v>
      </c>
      <c r="B1725" t="s">
        <v>8</v>
      </c>
      <c r="C1725" t="str">
        <f t="shared" si="52"/>
        <v>A</v>
      </c>
      <c r="D1725" t="s">
        <v>20</v>
      </c>
      <c r="E1725" t="s">
        <v>10</v>
      </c>
      <c r="F1725" t="str">
        <f t="shared" si="53"/>
        <v>Mobile</v>
      </c>
      <c r="G1725">
        <v>2</v>
      </c>
      <c r="H1725">
        <v>0</v>
      </c>
      <c r="I1725">
        <v>0</v>
      </c>
    </row>
    <row r="1726" spans="1:9">
      <c r="A1726" t="s">
        <v>1744</v>
      </c>
      <c r="B1726" t="s">
        <v>15</v>
      </c>
      <c r="C1726" t="str">
        <f t="shared" si="52"/>
        <v>B</v>
      </c>
      <c r="D1726" t="s">
        <v>20</v>
      </c>
      <c r="E1726" t="s">
        <v>23</v>
      </c>
      <c r="F1726" t="str">
        <f t="shared" si="53"/>
        <v>Desktop</v>
      </c>
      <c r="G1726">
        <v>7</v>
      </c>
      <c r="H1726">
        <v>0</v>
      </c>
      <c r="I1726">
        <v>0</v>
      </c>
    </row>
    <row r="1727" spans="1:9">
      <c r="A1727" t="s">
        <v>1745</v>
      </c>
      <c r="B1727" t="s">
        <v>8</v>
      </c>
      <c r="C1727" t="str">
        <f t="shared" si="52"/>
        <v>A</v>
      </c>
      <c r="D1727" t="s">
        <v>20</v>
      </c>
      <c r="E1727" t="s">
        <v>33</v>
      </c>
      <c r="F1727" t="str">
        <f t="shared" si="53"/>
        <v>Desktop</v>
      </c>
      <c r="G1727">
        <v>4</v>
      </c>
      <c r="H1727">
        <v>0</v>
      </c>
      <c r="I1727">
        <v>0</v>
      </c>
    </row>
    <row r="1728" spans="1:9">
      <c r="A1728" t="s">
        <v>1746</v>
      </c>
      <c r="B1728" t="s">
        <v>8</v>
      </c>
      <c r="C1728" t="str">
        <f t="shared" si="52"/>
        <v>A</v>
      </c>
      <c r="D1728" t="s">
        <v>13</v>
      </c>
      <c r="E1728" t="s">
        <v>10</v>
      </c>
      <c r="F1728" t="str">
        <f t="shared" si="53"/>
        <v>Mobile</v>
      </c>
      <c r="G1728">
        <v>9</v>
      </c>
      <c r="H1728">
        <v>0</v>
      </c>
      <c r="I1728">
        <v>0</v>
      </c>
    </row>
    <row r="1729" spans="1:9">
      <c r="A1729" t="s">
        <v>1747</v>
      </c>
      <c r="B1729" t="s">
        <v>8</v>
      </c>
      <c r="C1729" t="str">
        <f t="shared" si="52"/>
        <v>A</v>
      </c>
      <c r="D1729" t="s">
        <v>13</v>
      </c>
      <c r="E1729" t="s">
        <v>10</v>
      </c>
      <c r="F1729" t="str">
        <f t="shared" si="53"/>
        <v>Mobile</v>
      </c>
      <c r="G1729">
        <v>11</v>
      </c>
      <c r="H1729">
        <v>0</v>
      </c>
      <c r="I1729">
        <v>0</v>
      </c>
    </row>
    <row r="1730" spans="1:9">
      <c r="A1730" t="s">
        <v>1748</v>
      </c>
      <c r="B1730" t="s">
        <v>8</v>
      </c>
      <c r="C1730" t="str">
        <f t="shared" ref="C1730:C1793" si="54">IF(OR(B1730="control", B1730="A"), "A", "B")</f>
        <v>A</v>
      </c>
      <c r="D1730" t="s">
        <v>20</v>
      </c>
      <c r="E1730" t="s">
        <v>33</v>
      </c>
      <c r="F1730" t="str">
        <f t="shared" ref="F1730:F1793" si="55">PROPER(E1730)</f>
        <v>Desktop</v>
      </c>
      <c r="G1730">
        <v>5</v>
      </c>
      <c r="H1730">
        <v>0</v>
      </c>
      <c r="I1730">
        <v>0</v>
      </c>
    </row>
    <row r="1731" spans="1:9">
      <c r="A1731" t="s">
        <v>1749</v>
      </c>
      <c r="B1731" t="s">
        <v>15</v>
      </c>
      <c r="C1731" t="str">
        <f t="shared" si="54"/>
        <v>B</v>
      </c>
      <c r="D1731" t="s">
        <v>13</v>
      </c>
      <c r="E1731" t="s">
        <v>10</v>
      </c>
      <c r="F1731" t="str">
        <f t="shared" si="55"/>
        <v>Mobile</v>
      </c>
      <c r="G1731">
        <v>8</v>
      </c>
      <c r="H1731">
        <v>0</v>
      </c>
      <c r="I1731">
        <v>0</v>
      </c>
    </row>
    <row r="1732" spans="1:9">
      <c r="A1732" t="s">
        <v>1750</v>
      </c>
      <c r="B1732" t="s">
        <v>15</v>
      </c>
      <c r="C1732" t="str">
        <f t="shared" si="54"/>
        <v>B</v>
      </c>
      <c r="D1732" t="s">
        <v>20</v>
      </c>
      <c r="E1732" t="s">
        <v>10</v>
      </c>
      <c r="F1732" t="str">
        <f t="shared" si="55"/>
        <v>Mobile</v>
      </c>
      <c r="G1732">
        <v>5</v>
      </c>
      <c r="H1732">
        <v>1</v>
      </c>
      <c r="I1732">
        <v>868.77</v>
      </c>
    </row>
    <row r="1733" spans="1:9">
      <c r="A1733" t="s">
        <v>1751</v>
      </c>
      <c r="B1733" t="s">
        <v>15</v>
      </c>
      <c r="C1733" t="str">
        <f t="shared" si="54"/>
        <v>B</v>
      </c>
      <c r="D1733" t="s">
        <v>13</v>
      </c>
      <c r="E1733" t="s">
        <v>23</v>
      </c>
      <c r="F1733" t="str">
        <f t="shared" si="55"/>
        <v>Desktop</v>
      </c>
      <c r="G1733">
        <v>7</v>
      </c>
      <c r="H1733">
        <v>0</v>
      </c>
      <c r="I1733">
        <v>0</v>
      </c>
    </row>
    <row r="1734" spans="1:9">
      <c r="A1734" t="s">
        <v>1752</v>
      </c>
      <c r="B1734" t="s">
        <v>8</v>
      </c>
      <c r="C1734" t="str">
        <f t="shared" si="54"/>
        <v>A</v>
      </c>
      <c r="D1734" t="s">
        <v>13</v>
      </c>
      <c r="E1734" t="s">
        <v>16</v>
      </c>
      <c r="F1734" t="str">
        <f t="shared" si="55"/>
        <v>Mobile</v>
      </c>
      <c r="G1734">
        <v>3</v>
      </c>
      <c r="H1734">
        <v>0</v>
      </c>
      <c r="I1734">
        <v>0</v>
      </c>
    </row>
    <row r="1735" spans="1:9">
      <c r="A1735" t="s">
        <v>1753</v>
      </c>
      <c r="B1735" t="s">
        <v>8</v>
      </c>
      <c r="C1735" t="str">
        <f t="shared" si="54"/>
        <v>A</v>
      </c>
      <c r="D1735" t="s">
        <v>20</v>
      </c>
      <c r="E1735" t="s">
        <v>10</v>
      </c>
      <c r="F1735" t="str">
        <f t="shared" si="55"/>
        <v>Mobile</v>
      </c>
      <c r="G1735">
        <v>5</v>
      </c>
      <c r="H1735">
        <v>0</v>
      </c>
      <c r="I1735">
        <v>0</v>
      </c>
    </row>
    <row r="1736" spans="1:9">
      <c r="A1736" t="s">
        <v>1754</v>
      </c>
      <c r="B1736" t="s">
        <v>15</v>
      </c>
      <c r="C1736" t="str">
        <f t="shared" si="54"/>
        <v>B</v>
      </c>
      <c r="D1736" t="s">
        <v>18</v>
      </c>
      <c r="E1736" t="s">
        <v>83</v>
      </c>
      <c r="F1736" t="str">
        <f t="shared" si="55"/>
        <v>Tablet</v>
      </c>
      <c r="G1736">
        <v>6</v>
      </c>
      <c r="H1736">
        <v>0</v>
      </c>
      <c r="I1736">
        <v>0</v>
      </c>
    </row>
    <row r="1737" spans="1:9">
      <c r="A1737" t="s">
        <v>1755</v>
      </c>
      <c r="B1737" t="s">
        <v>8</v>
      </c>
      <c r="C1737" t="str">
        <f t="shared" si="54"/>
        <v>A</v>
      </c>
      <c r="D1737" t="s">
        <v>20</v>
      </c>
      <c r="E1737" t="s">
        <v>23</v>
      </c>
      <c r="F1737" t="str">
        <f t="shared" si="55"/>
        <v>Desktop</v>
      </c>
      <c r="G1737">
        <v>6</v>
      </c>
      <c r="H1737">
        <v>0</v>
      </c>
      <c r="I1737">
        <v>0</v>
      </c>
    </row>
    <row r="1738" spans="1:9">
      <c r="A1738" t="s">
        <v>1756</v>
      </c>
      <c r="B1738" t="s">
        <v>8</v>
      </c>
      <c r="C1738" t="str">
        <f t="shared" si="54"/>
        <v>A</v>
      </c>
      <c r="D1738" t="s">
        <v>20</v>
      </c>
      <c r="E1738" t="s">
        <v>10</v>
      </c>
      <c r="F1738" t="str">
        <f t="shared" si="55"/>
        <v>Mobile</v>
      </c>
      <c r="G1738">
        <v>5</v>
      </c>
      <c r="H1738">
        <v>0</v>
      </c>
      <c r="I1738">
        <v>0</v>
      </c>
    </row>
    <row r="1739" spans="1:9">
      <c r="A1739" t="s">
        <v>1757</v>
      </c>
      <c r="B1739" t="s">
        <v>15</v>
      </c>
      <c r="C1739" t="str">
        <f t="shared" si="54"/>
        <v>B</v>
      </c>
      <c r="D1739" t="s">
        <v>13</v>
      </c>
      <c r="E1739" t="s">
        <v>83</v>
      </c>
      <c r="F1739" t="str">
        <f t="shared" si="55"/>
        <v>Tablet</v>
      </c>
      <c r="G1739">
        <v>10</v>
      </c>
      <c r="H1739">
        <v>0</v>
      </c>
      <c r="I1739">
        <v>0</v>
      </c>
    </row>
    <row r="1740" spans="1:9">
      <c r="A1740" t="s">
        <v>1758</v>
      </c>
      <c r="B1740" t="s">
        <v>8</v>
      </c>
      <c r="C1740" t="str">
        <f t="shared" si="54"/>
        <v>A</v>
      </c>
      <c r="D1740" t="s">
        <v>18</v>
      </c>
      <c r="E1740" t="s">
        <v>10</v>
      </c>
      <c r="F1740" t="str">
        <f t="shared" si="55"/>
        <v>Mobile</v>
      </c>
      <c r="G1740">
        <v>9</v>
      </c>
      <c r="H1740">
        <v>0</v>
      </c>
      <c r="I1740">
        <v>0</v>
      </c>
    </row>
    <row r="1741" spans="1:9">
      <c r="A1741" t="s">
        <v>1759</v>
      </c>
      <c r="B1741" t="s">
        <v>15</v>
      </c>
      <c r="C1741" t="str">
        <f t="shared" si="54"/>
        <v>B</v>
      </c>
      <c r="D1741" t="s">
        <v>20</v>
      </c>
      <c r="E1741" t="s">
        <v>10</v>
      </c>
      <c r="F1741" t="str">
        <f t="shared" si="55"/>
        <v>Mobile</v>
      </c>
      <c r="G1741">
        <v>6</v>
      </c>
      <c r="H1741">
        <v>0</v>
      </c>
      <c r="I1741">
        <v>0</v>
      </c>
    </row>
    <row r="1742" spans="1:9">
      <c r="A1742" t="s">
        <v>1760</v>
      </c>
      <c r="B1742" t="s">
        <v>8</v>
      </c>
      <c r="C1742" t="str">
        <f t="shared" si="54"/>
        <v>A</v>
      </c>
      <c r="D1742" t="s">
        <v>20</v>
      </c>
      <c r="E1742" t="s">
        <v>23</v>
      </c>
      <c r="F1742" t="str">
        <f t="shared" si="55"/>
        <v>Desktop</v>
      </c>
      <c r="G1742">
        <v>7</v>
      </c>
      <c r="H1742">
        <v>0</v>
      </c>
      <c r="I1742">
        <v>0</v>
      </c>
    </row>
    <row r="1743" spans="1:9">
      <c r="A1743" t="s">
        <v>1761</v>
      </c>
      <c r="B1743" t="s">
        <v>8</v>
      </c>
      <c r="C1743" t="str">
        <f t="shared" si="54"/>
        <v>A</v>
      </c>
      <c r="D1743" t="s">
        <v>20</v>
      </c>
      <c r="E1743" t="s">
        <v>10</v>
      </c>
      <c r="F1743" t="str">
        <f t="shared" si="55"/>
        <v>Mobile</v>
      </c>
      <c r="G1743">
        <v>1</v>
      </c>
      <c r="H1743">
        <v>0</v>
      </c>
      <c r="I1743">
        <v>0</v>
      </c>
    </row>
    <row r="1744" spans="1:9">
      <c r="A1744" t="s">
        <v>1762</v>
      </c>
      <c r="B1744" t="s">
        <v>8</v>
      </c>
      <c r="C1744" t="str">
        <f t="shared" si="54"/>
        <v>A</v>
      </c>
      <c r="D1744" t="s">
        <v>13</v>
      </c>
      <c r="E1744" t="s">
        <v>10</v>
      </c>
      <c r="F1744" t="str">
        <f t="shared" si="55"/>
        <v>Mobile</v>
      </c>
      <c r="G1744">
        <v>3</v>
      </c>
      <c r="H1744">
        <v>0</v>
      </c>
      <c r="I1744">
        <v>0</v>
      </c>
    </row>
    <row r="1745" spans="1:9">
      <c r="A1745" t="s">
        <v>1763</v>
      </c>
      <c r="B1745" t="s">
        <v>29</v>
      </c>
      <c r="C1745" t="str">
        <f t="shared" si="54"/>
        <v>B</v>
      </c>
      <c r="D1745" t="s">
        <v>20</v>
      </c>
      <c r="E1745" t="s">
        <v>10</v>
      </c>
      <c r="F1745" t="str">
        <f t="shared" si="55"/>
        <v>Mobile</v>
      </c>
      <c r="G1745">
        <v>3</v>
      </c>
      <c r="H1745">
        <v>1</v>
      </c>
      <c r="I1745">
        <v>1702.63</v>
      </c>
    </row>
    <row r="1746" spans="1:9">
      <c r="A1746" t="s">
        <v>1764</v>
      </c>
      <c r="B1746" t="s">
        <v>15</v>
      </c>
      <c r="C1746" t="str">
        <f t="shared" si="54"/>
        <v>B</v>
      </c>
      <c r="D1746" t="s">
        <v>13</v>
      </c>
      <c r="E1746" t="s">
        <v>10</v>
      </c>
      <c r="F1746" t="str">
        <f t="shared" si="55"/>
        <v>Mobile</v>
      </c>
      <c r="G1746">
        <v>14</v>
      </c>
      <c r="H1746">
        <v>0</v>
      </c>
      <c r="I1746">
        <v>0</v>
      </c>
    </row>
    <row r="1747" spans="1:9">
      <c r="A1747" t="s">
        <v>1765</v>
      </c>
      <c r="B1747" t="s">
        <v>12</v>
      </c>
      <c r="C1747" t="str">
        <f t="shared" si="54"/>
        <v>A</v>
      </c>
      <c r="D1747" t="s">
        <v>18</v>
      </c>
      <c r="E1747" t="s">
        <v>16</v>
      </c>
      <c r="F1747" t="str">
        <f t="shared" si="55"/>
        <v>Mobile</v>
      </c>
      <c r="G1747">
        <v>4</v>
      </c>
      <c r="H1747">
        <v>0</v>
      </c>
      <c r="I1747">
        <v>0</v>
      </c>
    </row>
    <row r="1748" spans="1:9">
      <c r="A1748" t="s">
        <v>1766</v>
      </c>
      <c r="B1748" t="s">
        <v>15</v>
      </c>
      <c r="C1748" t="str">
        <f t="shared" si="54"/>
        <v>B</v>
      </c>
      <c r="D1748" t="s">
        <v>13</v>
      </c>
      <c r="E1748" t="s">
        <v>23</v>
      </c>
      <c r="F1748" t="str">
        <f t="shared" si="55"/>
        <v>Desktop</v>
      </c>
      <c r="G1748">
        <v>6</v>
      </c>
      <c r="H1748">
        <v>0</v>
      </c>
      <c r="I1748">
        <v>0</v>
      </c>
    </row>
    <row r="1749" spans="1:9">
      <c r="A1749" t="s">
        <v>1767</v>
      </c>
      <c r="B1749" t="s">
        <v>8</v>
      </c>
      <c r="C1749" t="str">
        <f t="shared" si="54"/>
        <v>A</v>
      </c>
      <c r="D1749" t="s">
        <v>20</v>
      </c>
      <c r="E1749" t="s">
        <v>83</v>
      </c>
      <c r="F1749" t="str">
        <f t="shared" si="55"/>
        <v>Tablet</v>
      </c>
      <c r="G1749">
        <v>7</v>
      </c>
      <c r="H1749">
        <v>0</v>
      </c>
      <c r="I1749">
        <v>0</v>
      </c>
    </row>
    <row r="1750" spans="1:9">
      <c r="A1750" t="s">
        <v>1768</v>
      </c>
      <c r="B1750" t="s">
        <v>15</v>
      </c>
      <c r="C1750" t="str">
        <f t="shared" si="54"/>
        <v>B</v>
      </c>
      <c r="D1750" t="s">
        <v>20</v>
      </c>
      <c r="E1750" t="s">
        <v>10</v>
      </c>
      <c r="F1750" t="str">
        <f t="shared" si="55"/>
        <v>Mobile</v>
      </c>
      <c r="G1750">
        <v>4</v>
      </c>
      <c r="H1750">
        <v>0</v>
      </c>
      <c r="I1750">
        <v>0</v>
      </c>
    </row>
    <row r="1751" spans="1:9">
      <c r="A1751" t="s">
        <v>1769</v>
      </c>
      <c r="B1751" t="s">
        <v>8</v>
      </c>
      <c r="C1751" t="str">
        <f t="shared" si="54"/>
        <v>A</v>
      </c>
      <c r="D1751" t="s">
        <v>20</v>
      </c>
      <c r="E1751" t="s">
        <v>10</v>
      </c>
      <c r="F1751" t="str">
        <f t="shared" si="55"/>
        <v>Mobile</v>
      </c>
      <c r="G1751">
        <v>5</v>
      </c>
      <c r="H1751">
        <v>1</v>
      </c>
      <c r="I1751">
        <v>1768.9</v>
      </c>
    </row>
    <row r="1752" spans="1:9">
      <c r="A1752" t="s">
        <v>1770</v>
      </c>
      <c r="B1752" t="s">
        <v>15</v>
      </c>
      <c r="C1752" t="str">
        <f t="shared" si="54"/>
        <v>B</v>
      </c>
      <c r="D1752" t="s">
        <v>9</v>
      </c>
      <c r="E1752" t="s">
        <v>10</v>
      </c>
      <c r="F1752" t="str">
        <f t="shared" si="55"/>
        <v>Mobile</v>
      </c>
      <c r="G1752">
        <v>2</v>
      </c>
      <c r="H1752">
        <v>0</v>
      </c>
      <c r="I1752">
        <v>0</v>
      </c>
    </row>
    <row r="1753" spans="1:9">
      <c r="A1753" t="s">
        <v>1771</v>
      </c>
      <c r="B1753" t="s">
        <v>8</v>
      </c>
      <c r="C1753" t="str">
        <f t="shared" si="54"/>
        <v>A</v>
      </c>
      <c r="D1753" t="s">
        <v>20</v>
      </c>
      <c r="E1753" t="s">
        <v>10</v>
      </c>
      <c r="F1753" t="str">
        <f t="shared" si="55"/>
        <v>Mobile</v>
      </c>
      <c r="G1753">
        <v>7</v>
      </c>
      <c r="H1753">
        <v>0</v>
      </c>
      <c r="I1753">
        <v>0</v>
      </c>
    </row>
    <row r="1754" spans="1:9">
      <c r="A1754" t="s">
        <v>1772</v>
      </c>
      <c r="B1754" t="s">
        <v>15</v>
      </c>
      <c r="C1754" t="str">
        <f t="shared" si="54"/>
        <v>B</v>
      </c>
      <c r="D1754" t="s">
        <v>20</v>
      </c>
      <c r="E1754" t="s">
        <v>10</v>
      </c>
      <c r="F1754" t="str">
        <f t="shared" si="55"/>
        <v>Mobile</v>
      </c>
      <c r="G1754">
        <v>6</v>
      </c>
      <c r="H1754">
        <v>1</v>
      </c>
      <c r="I1754">
        <v>1276.19</v>
      </c>
    </row>
    <row r="1755" spans="1:9">
      <c r="A1755" t="s">
        <v>1773</v>
      </c>
      <c r="B1755" t="s">
        <v>8</v>
      </c>
      <c r="C1755" t="str">
        <f t="shared" si="54"/>
        <v>A</v>
      </c>
      <c r="D1755" t="s">
        <v>13</v>
      </c>
      <c r="E1755" t="s">
        <v>23</v>
      </c>
      <c r="F1755" t="str">
        <f t="shared" si="55"/>
        <v>Desktop</v>
      </c>
      <c r="G1755">
        <v>6</v>
      </c>
      <c r="H1755">
        <v>0</v>
      </c>
      <c r="I1755">
        <v>0</v>
      </c>
    </row>
    <row r="1756" spans="1:9">
      <c r="A1756" t="s">
        <v>1774</v>
      </c>
      <c r="B1756" t="s">
        <v>8</v>
      </c>
      <c r="C1756" t="str">
        <f t="shared" si="54"/>
        <v>A</v>
      </c>
      <c r="D1756" t="s">
        <v>13</v>
      </c>
      <c r="E1756" t="s">
        <v>33</v>
      </c>
      <c r="F1756" t="str">
        <f t="shared" si="55"/>
        <v>Desktop</v>
      </c>
      <c r="G1756">
        <v>10</v>
      </c>
      <c r="H1756">
        <v>0</v>
      </c>
      <c r="I1756">
        <v>0</v>
      </c>
    </row>
    <row r="1757" spans="1:9">
      <c r="A1757" t="s">
        <v>1775</v>
      </c>
      <c r="B1757" t="s">
        <v>15</v>
      </c>
      <c r="C1757" t="str">
        <f t="shared" si="54"/>
        <v>B</v>
      </c>
      <c r="D1757" t="s">
        <v>13</v>
      </c>
      <c r="E1757" t="s">
        <v>83</v>
      </c>
      <c r="F1757" t="str">
        <f t="shared" si="55"/>
        <v>Tablet</v>
      </c>
      <c r="G1757">
        <v>6</v>
      </c>
      <c r="H1757">
        <v>1</v>
      </c>
      <c r="I1757">
        <v>2446.6</v>
      </c>
    </row>
    <row r="1758" spans="1:9">
      <c r="A1758" t="s">
        <v>1776</v>
      </c>
      <c r="B1758" t="s">
        <v>15</v>
      </c>
      <c r="C1758" t="str">
        <f t="shared" si="54"/>
        <v>B</v>
      </c>
      <c r="D1758" t="s">
        <v>20</v>
      </c>
      <c r="E1758" t="s">
        <v>10</v>
      </c>
      <c r="F1758" t="str">
        <f t="shared" si="55"/>
        <v>Mobile</v>
      </c>
      <c r="G1758">
        <v>7</v>
      </c>
      <c r="H1758">
        <v>0</v>
      </c>
      <c r="I1758">
        <v>0</v>
      </c>
    </row>
    <row r="1759" spans="1:9">
      <c r="A1759" t="s">
        <v>1777</v>
      </c>
      <c r="B1759" t="s">
        <v>8</v>
      </c>
      <c r="C1759" t="str">
        <f t="shared" si="54"/>
        <v>A</v>
      </c>
      <c r="D1759" t="s">
        <v>9</v>
      </c>
      <c r="E1759" t="s">
        <v>16</v>
      </c>
      <c r="F1759" t="str">
        <f t="shared" si="55"/>
        <v>Mobile</v>
      </c>
      <c r="G1759">
        <v>7</v>
      </c>
      <c r="H1759">
        <v>1</v>
      </c>
      <c r="I1759">
        <v>4473.3500000000004</v>
      </c>
    </row>
    <row r="1760" spans="1:9">
      <c r="A1760" t="s">
        <v>1778</v>
      </c>
      <c r="B1760" t="s">
        <v>8</v>
      </c>
      <c r="C1760" t="str">
        <f t="shared" si="54"/>
        <v>A</v>
      </c>
      <c r="D1760" t="s">
        <v>18</v>
      </c>
      <c r="E1760" t="s">
        <v>10</v>
      </c>
      <c r="F1760" t="str">
        <f t="shared" si="55"/>
        <v>Mobile</v>
      </c>
      <c r="G1760">
        <v>5</v>
      </c>
      <c r="H1760">
        <v>0</v>
      </c>
      <c r="I1760">
        <v>0</v>
      </c>
    </row>
    <row r="1761" spans="1:9">
      <c r="A1761" t="s">
        <v>1779</v>
      </c>
      <c r="B1761" t="s">
        <v>8</v>
      </c>
      <c r="C1761" t="str">
        <f t="shared" si="54"/>
        <v>A</v>
      </c>
      <c r="D1761" t="s">
        <v>13</v>
      </c>
      <c r="E1761" t="s">
        <v>10</v>
      </c>
      <c r="F1761" t="str">
        <f t="shared" si="55"/>
        <v>Mobile</v>
      </c>
      <c r="G1761">
        <v>8</v>
      </c>
      <c r="H1761">
        <v>0</v>
      </c>
      <c r="I1761">
        <v>0</v>
      </c>
    </row>
    <row r="1762" spans="1:9">
      <c r="A1762" t="s">
        <v>1780</v>
      </c>
      <c r="B1762" t="s">
        <v>15</v>
      </c>
      <c r="C1762" t="str">
        <f t="shared" si="54"/>
        <v>B</v>
      </c>
      <c r="D1762" t="s">
        <v>18</v>
      </c>
      <c r="E1762" t="s">
        <v>16</v>
      </c>
      <c r="F1762" t="str">
        <f t="shared" si="55"/>
        <v>Mobile</v>
      </c>
      <c r="G1762">
        <v>6</v>
      </c>
      <c r="H1762">
        <v>0</v>
      </c>
      <c r="I1762">
        <v>0</v>
      </c>
    </row>
    <row r="1763" spans="1:9">
      <c r="A1763" t="s">
        <v>1781</v>
      </c>
      <c r="B1763" t="s">
        <v>15</v>
      </c>
      <c r="C1763" t="str">
        <f t="shared" si="54"/>
        <v>B</v>
      </c>
      <c r="D1763" t="s">
        <v>20</v>
      </c>
      <c r="E1763" t="s">
        <v>23</v>
      </c>
      <c r="F1763" t="str">
        <f t="shared" si="55"/>
        <v>Desktop</v>
      </c>
      <c r="G1763">
        <v>8</v>
      </c>
      <c r="H1763">
        <v>0</v>
      </c>
      <c r="I1763">
        <v>0</v>
      </c>
    </row>
    <row r="1764" spans="1:9">
      <c r="A1764" t="s">
        <v>1782</v>
      </c>
      <c r="B1764" t="s">
        <v>12</v>
      </c>
      <c r="C1764" t="str">
        <f t="shared" si="54"/>
        <v>A</v>
      </c>
      <c r="D1764" t="s">
        <v>13</v>
      </c>
      <c r="E1764" t="s">
        <v>10</v>
      </c>
      <c r="F1764" t="str">
        <f t="shared" si="55"/>
        <v>Mobile</v>
      </c>
      <c r="G1764">
        <v>5</v>
      </c>
      <c r="H1764">
        <v>0</v>
      </c>
      <c r="I1764">
        <v>0</v>
      </c>
    </row>
    <row r="1765" spans="1:9">
      <c r="A1765" t="s">
        <v>1783</v>
      </c>
      <c r="B1765" t="s">
        <v>15</v>
      </c>
      <c r="C1765" t="str">
        <f t="shared" si="54"/>
        <v>B</v>
      </c>
      <c r="D1765" t="s">
        <v>13</v>
      </c>
      <c r="E1765" t="s">
        <v>10</v>
      </c>
      <c r="F1765" t="str">
        <f t="shared" si="55"/>
        <v>Mobile</v>
      </c>
      <c r="G1765">
        <v>6</v>
      </c>
      <c r="H1765">
        <v>1</v>
      </c>
      <c r="I1765">
        <v>2594.04</v>
      </c>
    </row>
    <row r="1766" spans="1:9">
      <c r="A1766" t="s">
        <v>1784</v>
      </c>
      <c r="B1766" t="s">
        <v>8</v>
      </c>
      <c r="C1766" t="str">
        <f t="shared" si="54"/>
        <v>A</v>
      </c>
      <c r="D1766" t="s">
        <v>13</v>
      </c>
      <c r="E1766" t="s">
        <v>10</v>
      </c>
      <c r="F1766" t="str">
        <f t="shared" si="55"/>
        <v>Mobile</v>
      </c>
      <c r="G1766">
        <v>5</v>
      </c>
      <c r="H1766">
        <v>0</v>
      </c>
      <c r="I1766">
        <v>0</v>
      </c>
    </row>
    <row r="1767" spans="1:9">
      <c r="A1767" t="s">
        <v>1785</v>
      </c>
      <c r="B1767" t="s">
        <v>15</v>
      </c>
      <c r="C1767" t="str">
        <f t="shared" si="54"/>
        <v>B</v>
      </c>
      <c r="D1767" t="s">
        <v>20</v>
      </c>
      <c r="E1767" t="s">
        <v>23</v>
      </c>
      <c r="F1767" t="str">
        <f t="shared" si="55"/>
        <v>Desktop</v>
      </c>
      <c r="G1767">
        <v>7</v>
      </c>
      <c r="H1767">
        <v>1</v>
      </c>
      <c r="I1767">
        <v>1440.08</v>
      </c>
    </row>
    <row r="1768" spans="1:9">
      <c r="A1768" t="s">
        <v>1786</v>
      </c>
      <c r="B1768" t="s">
        <v>8</v>
      </c>
      <c r="C1768" t="str">
        <f t="shared" si="54"/>
        <v>A</v>
      </c>
      <c r="D1768" t="s">
        <v>20</v>
      </c>
      <c r="E1768" t="s">
        <v>10</v>
      </c>
      <c r="F1768" t="str">
        <f t="shared" si="55"/>
        <v>Mobile</v>
      </c>
      <c r="G1768">
        <v>6</v>
      </c>
      <c r="H1768">
        <v>1</v>
      </c>
      <c r="I1768">
        <v>1470.37</v>
      </c>
    </row>
    <row r="1769" spans="1:9">
      <c r="A1769" t="s">
        <v>1787</v>
      </c>
      <c r="B1769" t="s">
        <v>8</v>
      </c>
      <c r="C1769" t="str">
        <f t="shared" si="54"/>
        <v>A</v>
      </c>
      <c r="D1769" t="s">
        <v>20</v>
      </c>
      <c r="E1769" t="s">
        <v>83</v>
      </c>
      <c r="F1769" t="str">
        <f t="shared" si="55"/>
        <v>Tablet</v>
      </c>
      <c r="G1769">
        <v>2</v>
      </c>
      <c r="H1769">
        <v>0</v>
      </c>
      <c r="I1769">
        <v>0</v>
      </c>
    </row>
    <row r="1770" spans="1:9">
      <c r="A1770" t="s">
        <v>1788</v>
      </c>
      <c r="B1770" t="s">
        <v>15</v>
      </c>
      <c r="C1770" t="str">
        <f t="shared" si="54"/>
        <v>B</v>
      </c>
      <c r="D1770" t="s">
        <v>20</v>
      </c>
      <c r="E1770" t="s">
        <v>10</v>
      </c>
      <c r="F1770" t="str">
        <f t="shared" si="55"/>
        <v>Mobile</v>
      </c>
      <c r="G1770">
        <v>4</v>
      </c>
      <c r="H1770">
        <v>0</v>
      </c>
      <c r="I1770">
        <v>0</v>
      </c>
    </row>
    <row r="1771" spans="1:9">
      <c r="A1771" t="s">
        <v>1789</v>
      </c>
      <c r="B1771" t="s">
        <v>8</v>
      </c>
      <c r="C1771" t="str">
        <f t="shared" si="54"/>
        <v>A</v>
      </c>
      <c r="D1771" t="s">
        <v>20</v>
      </c>
      <c r="E1771" t="s">
        <v>10</v>
      </c>
      <c r="F1771" t="str">
        <f t="shared" si="55"/>
        <v>Mobile</v>
      </c>
      <c r="G1771">
        <v>5</v>
      </c>
      <c r="H1771">
        <v>0</v>
      </c>
      <c r="I1771">
        <v>0</v>
      </c>
    </row>
    <row r="1772" spans="1:9">
      <c r="A1772" t="s">
        <v>1790</v>
      </c>
      <c r="B1772" t="s">
        <v>15</v>
      </c>
      <c r="C1772" t="str">
        <f t="shared" si="54"/>
        <v>B</v>
      </c>
      <c r="D1772" t="s">
        <v>13</v>
      </c>
      <c r="E1772" t="s">
        <v>10</v>
      </c>
      <c r="F1772" t="str">
        <f t="shared" si="55"/>
        <v>Mobile</v>
      </c>
      <c r="G1772">
        <v>6</v>
      </c>
      <c r="H1772">
        <v>0</v>
      </c>
      <c r="I1772">
        <v>0</v>
      </c>
    </row>
    <row r="1773" spans="1:9">
      <c r="A1773" t="s">
        <v>1791</v>
      </c>
      <c r="B1773" t="s">
        <v>15</v>
      </c>
      <c r="C1773" t="str">
        <f t="shared" si="54"/>
        <v>B</v>
      </c>
      <c r="D1773" t="s">
        <v>20</v>
      </c>
      <c r="E1773" t="s">
        <v>10</v>
      </c>
      <c r="F1773" t="str">
        <f t="shared" si="55"/>
        <v>Mobile</v>
      </c>
      <c r="G1773">
        <v>8</v>
      </c>
      <c r="H1773">
        <v>1</v>
      </c>
      <c r="I1773">
        <v>1580.32</v>
      </c>
    </row>
    <row r="1774" spans="1:9">
      <c r="A1774" t="s">
        <v>1792</v>
      </c>
      <c r="B1774" t="s">
        <v>15</v>
      </c>
      <c r="C1774" t="str">
        <f t="shared" si="54"/>
        <v>B</v>
      </c>
      <c r="D1774" t="s">
        <v>20</v>
      </c>
      <c r="E1774" t="s">
        <v>10</v>
      </c>
      <c r="F1774" t="str">
        <f t="shared" si="55"/>
        <v>Mobile</v>
      </c>
      <c r="G1774">
        <v>9</v>
      </c>
      <c r="H1774">
        <v>0</v>
      </c>
      <c r="I1774">
        <v>0</v>
      </c>
    </row>
    <row r="1775" spans="1:9">
      <c r="A1775" t="s">
        <v>1793</v>
      </c>
      <c r="B1775" t="s">
        <v>15</v>
      </c>
      <c r="C1775" t="str">
        <f t="shared" si="54"/>
        <v>B</v>
      </c>
      <c r="D1775" t="s">
        <v>13</v>
      </c>
      <c r="E1775" t="s">
        <v>23</v>
      </c>
      <c r="F1775" t="str">
        <f t="shared" si="55"/>
        <v>Desktop</v>
      </c>
      <c r="G1775">
        <v>8</v>
      </c>
      <c r="H1775">
        <v>0</v>
      </c>
      <c r="I1775">
        <v>0</v>
      </c>
    </row>
    <row r="1776" spans="1:9">
      <c r="A1776" t="s">
        <v>1794</v>
      </c>
      <c r="B1776" t="s">
        <v>15</v>
      </c>
      <c r="C1776" t="str">
        <f t="shared" si="54"/>
        <v>B</v>
      </c>
      <c r="D1776" t="s">
        <v>13</v>
      </c>
      <c r="E1776" t="s">
        <v>16</v>
      </c>
      <c r="F1776" t="str">
        <f t="shared" si="55"/>
        <v>Mobile</v>
      </c>
      <c r="G1776">
        <v>6</v>
      </c>
      <c r="H1776">
        <v>0</v>
      </c>
      <c r="I1776">
        <v>0</v>
      </c>
    </row>
    <row r="1777" spans="1:9">
      <c r="A1777" t="s">
        <v>1795</v>
      </c>
      <c r="B1777" t="s">
        <v>15</v>
      </c>
      <c r="C1777" t="str">
        <f t="shared" si="54"/>
        <v>B</v>
      </c>
      <c r="D1777" t="s">
        <v>9</v>
      </c>
      <c r="E1777" t="s">
        <v>33</v>
      </c>
      <c r="F1777" t="str">
        <f t="shared" si="55"/>
        <v>Desktop</v>
      </c>
      <c r="G1777">
        <v>4</v>
      </c>
      <c r="H1777">
        <v>0</v>
      </c>
      <c r="I1777">
        <v>0</v>
      </c>
    </row>
    <row r="1778" spans="1:9">
      <c r="A1778" t="s">
        <v>1796</v>
      </c>
      <c r="B1778" t="s">
        <v>15</v>
      </c>
      <c r="C1778" t="str">
        <f t="shared" si="54"/>
        <v>B</v>
      </c>
      <c r="D1778" t="s">
        <v>13</v>
      </c>
      <c r="E1778" t="s">
        <v>23</v>
      </c>
      <c r="F1778" t="str">
        <f t="shared" si="55"/>
        <v>Desktop</v>
      </c>
      <c r="G1778">
        <v>11</v>
      </c>
      <c r="H1778">
        <v>1</v>
      </c>
      <c r="I1778">
        <v>2427.33</v>
      </c>
    </row>
    <row r="1779" spans="1:9">
      <c r="A1779" t="s">
        <v>1797</v>
      </c>
      <c r="B1779" t="s">
        <v>8</v>
      </c>
      <c r="C1779" t="str">
        <f t="shared" si="54"/>
        <v>A</v>
      </c>
      <c r="D1779" t="s">
        <v>20</v>
      </c>
      <c r="E1779" t="s">
        <v>16</v>
      </c>
      <c r="F1779" t="str">
        <f t="shared" si="55"/>
        <v>Mobile</v>
      </c>
      <c r="G1779">
        <v>5</v>
      </c>
      <c r="H1779">
        <v>1</v>
      </c>
      <c r="I1779">
        <v>1169.74</v>
      </c>
    </row>
    <row r="1780" spans="1:9">
      <c r="A1780" t="s">
        <v>1798</v>
      </c>
      <c r="B1780" t="s">
        <v>15</v>
      </c>
      <c r="C1780" t="str">
        <f t="shared" si="54"/>
        <v>B</v>
      </c>
      <c r="D1780" t="s">
        <v>9</v>
      </c>
      <c r="E1780" t="s">
        <v>23</v>
      </c>
      <c r="F1780" t="str">
        <f t="shared" si="55"/>
        <v>Desktop</v>
      </c>
      <c r="G1780">
        <v>12</v>
      </c>
      <c r="H1780">
        <v>1</v>
      </c>
      <c r="I1780">
        <v>4711.6099999999997</v>
      </c>
    </row>
    <row r="1781" spans="1:9">
      <c r="A1781" t="s">
        <v>1799</v>
      </c>
      <c r="B1781" t="s">
        <v>8</v>
      </c>
      <c r="C1781" t="str">
        <f t="shared" si="54"/>
        <v>A</v>
      </c>
      <c r="D1781" t="s">
        <v>13</v>
      </c>
      <c r="E1781" t="s">
        <v>16</v>
      </c>
      <c r="F1781" t="str">
        <f t="shared" si="55"/>
        <v>Mobile</v>
      </c>
      <c r="G1781">
        <v>8</v>
      </c>
      <c r="H1781">
        <v>0</v>
      </c>
      <c r="I1781">
        <v>0</v>
      </c>
    </row>
    <row r="1782" spans="1:9">
      <c r="A1782" t="s">
        <v>1800</v>
      </c>
      <c r="B1782" t="s">
        <v>15</v>
      </c>
      <c r="C1782" t="str">
        <f t="shared" si="54"/>
        <v>B</v>
      </c>
      <c r="D1782" t="s">
        <v>20</v>
      </c>
      <c r="E1782" t="s">
        <v>10</v>
      </c>
      <c r="F1782" t="str">
        <f t="shared" si="55"/>
        <v>Mobile</v>
      </c>
      <c r="G1782">
        <v>4</v>
      </c>
      <c r="H1782">
        <v>0</v>
      </c>
      <c r="I1782">
        <v>0</v>
      </c>
    </row>
    <row r="1783" spans="1:9">
      <c r="A1783" t="s">
        <v>1801</v>
      </c>
      <c r="B1783" t="s">
        <v>15</v>
      </c>
      <c r="C1783" t="str">
        <f t="shared" si="54"/>
        <v>B</v>
      </c>
      <c r="D1783" t="s">
        <v>13</v>
      </c>
      <c r="E1783" t="s">
        <v>10</v>
      </c>
      <c r="F1783" t="str">
        <f t="shared" si="55"/>
        <v>Mobile</v>
      </c>
      <c r="G1783">
        <v>2</v>
      </c>
      <c r="H1783">
        <v>0</v>
      </c>
      <c r="I1783">
        <v>0</v>
      </c>
    </row>
    <row r="1784" spans="1:9">
      <c r="A1784" t="s">
        <v>1802</v>
      </c>
      <c r="B1784" t="s">
        <v>15</v>
      </c>
      <c r="C1784" t="str">
        <f t="shared" si="54"/>
        <v>B</v>
      </c>
      <c r="D1784" t="s">
        <v>9</v>
      </c>
      <c r="E1784" t="s">
        <v>10</v>
      </c>
      <c r="F1784" t="str">
        <f t="shared" si="55"/>
        <v>Mobile</v>
      </c>
      <c r="G1784">
        <v>5</v>
      </c>
      <c r="H1784">
        <v>1</v>
      </c>
      <c r="I1784">
        <v>4832.5</v>
      </c>
    </row>
    <row r="1785" spans="1:9">
      <c r="A1785" t="s">
        <v>1803</v>
      </c>
      <c r="B1785" t="s">
        <v>8</v>
      </c>
      <c r="C1785" t="str">
        <f t="shared" si="54"/>
        <v>A</v>
      </c>
      <c r="D1785" t="s">
        <v>20</v>
      </c>
      <c r="E1785" t="s">
        <v>10</v>
      </c>
      <c r="F1785" t="str">
        <f t="shared" si="55"/>
        <v>Mobile</v>
      </c>
      <c r="G1785">
        <v>8</v>
      </c>
      <c r="H1785">
        <v>0</v>
      </c>
      <c r="I1785">
        <v>0</v>
      </c>
    </row>
    <row r="1786" spans="1:9">
      <c r="A1786" t="s">
        <v>1804</v>
      </c>
      <c r="B1786" t="s">
        <v>8</v>
      </c>
      <c r="C1786" t="str">
        <f t="shared" si="54"/>
        <v>A</v>
      </c>
      <c r="D1786" t="s">
        <v>20</v>
      </c>
      <c r="E1786" t="s">
        <v>10</v>
      </c>
      <c r="F1786" t="str">
        <f t="shared" si="55"/>
        <v>Mobile</v>
      </c>
      <c r="G1786">
        <v>3</v>
      </c>
      <c r="H1786">
        <v>0</v>
      </c>
      <c r="I1786">
        <v>0</v>
      </c>
    </row>
    <row r="1787" spans="1:9">
      <c r="A1787" t="s">
        <v>1805</v>
      </c>
      <c r="B1787" t="s">
        <v>15</v>
      </c>
      <c r="C1787" t="str">
        <f t="shared" si="54"/>
        <v>B</v>
      </c>
      <c r="D1787" t="s">
        <v>20</v>
      </c>
      <c r="E1787" t="s">
        <v>33</v>
      </c>
      <c r="F1787" t="str">
        <f t="shared" si="55"/>
        <v>Desktop</v>
      </c>
      <c r="G1787">
        <v>5</v>
      </c>
      <c r="H1787">
        <v>0</v>
      </c>
      <c r="I1787">
        <v>0</v>
      </c>
    </row>
    <row r="1788" spans="1:9">
      <c r="A1788" t="s">
        <v>1806</v>
      </c>
      <c r="B1788" t="s">
        <v>8</v>
      </c>
      <c r="C1788" t="str">
        <f t="shared" si="54"/>
        <v>A</v>
      </c>
      <c r="D1788" t="s">
        <v>20</v>
      </c>
      <c r="E1788" t="s">
        <v>10</v>
      </c>
      <c r="F1788" t="str">
        <f t="shared" si="55"/>
        <v>Mobile</v>
      </c>
      <c r="G1788">
        <v>10</v>
      </c>
      <c r="H1788">
        <v>1</v>
      </c>
      <c r="I1788">
        <v>1840.76</v>
      </c>
    </row>
    <row r="1789" spans="1:9">
      <c r="A1789" t="s">
        <v>1807</v>
      </c>
      <c r="B1789" t="s">
        <v>8</v>
      </c>
      <c r="C1789" t="str">
        <f t="shared" si="54"/>
        <v>A</v>
      </c>
      <c r="D1789" t="s">
        <v>13</v>
      </c>
      <c r="E1789" t="s">
        <v>10</v>
      </c>
      <c r="F1789" t="str">
        <f t="shared" si="55"/>
        <v>Mobile</v>
      </c>
      <c r="G1789">
        <v>3</v>
      </c>
      <c r="H1789">
        <v>0</v>
      </c>
      <c r="I1789">
        <v>0</v>
      </c>
    </row>
    <row r="1790" spans="1:9">
      <c r="A1790" t="s">
        <v>1808</v>
      </c>
      <c r="B1790" t="s">
        <v>8</v>
      </c>
      <c r="C1790" t="str">
        <f t="shared" si="54"/>
        <v>A</v>
      </c>
      <c r="D1790" t="s">
        <v>13</v>
      </c>
      <c r="E1790" t="s">
        <v>23</v>
      </c>
      <c r="F1790" t="str">
        <f t="shared" si="55"/>
        <v>Desktop</v>
      </c>
      <c r="G1790">
        <v>3</v>
      </c>
      <c r="H1790">
        <v>0</v>
      </c>
      <c r="I1790">
        <v>0</v>
      </c>
    </row>
    <row r="1791" spans="1:9">
      <c r="A1791" t="s">
        <v>1809</v>
      </c>
      <c r="B1791" t="s">
        <v>12</v>
      </c>
      <c r="C1791" t="str">
        <f t="shared" si="54"/>
        <v>A</v>
      </c>
      <c r="D1791" t="s">
        <v>20</v>
      </c>
      <c r="E1791" t="s">
        <v>10</v>
      </c>
      <c r="F1791" t="str">
        <f t="shared" si="55"/>
        <v>Mobile</v>
      </c>
      <c r="G1791">
        <v>8</v>
      </c>
      <c r="H1791">
        <v>0</v>
      </c>
      <c r="I1791">
        <v>0</v>
      </c>
    </row>
    <row r="1792" spans="1:9">
      <c r="A1792" t="s">
        <v>1810</v>
      </c>
      <c r="B1792" t="s">
        <v>15</v>
      </c>
      <c r="C1792" t="str">
        <f t="shared" si="54"/>
        <v>B</v>
      </c>
      <c r="D1792" t="s">
        <v>18</v>
      </c>
      <c r="E1792" t="s">
        <v>10</v>
      </c>
      <c r="F1792" t="str">
        <f t="shared" si="55"/>
        <v>Mobile</v>
      </c>
      <c r="G1792">
        <v>1</v>
      </c>
      <c r="H1792">
        <v>0</v>
      </c>
      <c r="I1792">
        <v>0</v>
      </c>
    </row>
    <row r="1793" spans="1:9">
      <c r="A1793" t="s">
        <v>1811</v>
      </c>
      <c r="B1793" t="s">
        <v>8</v>
      </c>
      <c r="C1793" t="str">
        <f t="shared" si="54"/>
        <v>A</v>
      </c>
      <c r="D1793" t="s">
        <v>13</v>
      </c>
      <c r="E1793" t="s">
        <v>10</v>
      </c>
      <c r="F1793" t="str">
        <f t="shared" si="55"/>
        <v>Mobile</v>
      </c>
      <c r="G1793">
        <v>9</v>
      </c>
      <c r="H1793">
        <v>0</v>
      </c>
      <c r="I1793">
        <v>0</v>
      </c>
    </row>
    <row r="1794" spans="1:9">
      <c r="A1794" t="s">
        <v>1812</v>
      </c>
      <c r="B1794" t="s">
        <v>8</v>
      </c>
      <c r="C1794" t="str">
        <f t="shared" ref="C1794:C1857" si="56">IF(OR(B1794="control", B1794="A"), "A", "B")</f>
        <v>A</v>
      </c>
      <c r="D1794" t="s">
        <v>13</v>
      </c>
      <c r="E1794" t="s">
        <v>10</v>
      </c>
      <c r="F1794" t="str">
        <f t="shared" ref="F1794:F1857" si="57">PROPER(E1794)</f>
        <v>Mobile</v>
      </c>
      <c r="G1794">
        <v>7</v>
      </c>
      <c r="H1794">
        <v>0</v>
      </c>
      <c r="I1794">
        <v>0</v>
      </c>
    </row>
    <row r="1795" spans="1:9">
      <c r="A1795" t="s">
        <v>1813</v>
      </c>
      <c r="B1795" t="s">
        <v>8</v>
      </c>
      <c r="C1795" t="str">
        <f t="shared" si="56"/>
        <v>A</v>
      </c>
      <c r="D1795" t="s">
        <v>9</v>
      </c>
      <c r="E1795" t="s">
        <v>10</v>
      </c>
      <c r="F1795" t="str">
        <f t="shared" si="57"/>
        <v>Mobile</v>
      </c>
      <c r="G1795">
        <v>2</v>
      </c>
      <c r="H1795">
        <v>0</v>
      </c>
      <c r="I1795">
        <v>0</v>
      </c>
    </row>
    <row r="1796" spans="1:9">
      <c r="A1796" t="s">
        <v>1814</v>
      </c>
      <c r="B1796" t="s">
        <v>15</v>
      </c>
      <c r="C1796" t="str">
        <f t="shared" si="56"/>
        <v>B</v>
      </c>
      <c r="D1796" t="s">
        <v>20</v>
      </c>
      <c r="E1796" t="s">
        <v>23</v>
      </c>
      <c r="F1796" t="str">
        <f t="shared" si="57"/>
        <v>Desktop</v>
      </c>
      <c r="G1796">
        <v>8</v>
      </c>
      <c r="H1796">
        <v>0</v>
      </c>
      <c r="I1796">
        <v>0</v>
      </c>
    </row>
    <row r="1797" spans="1:9">
      <c r="A1797" t="s">
        <v>1815</v>
      </c>
      <c r="B1797" t="s">
        <v>15</v>
      </c>
      <c r="C1797" t="str">
        <f t="shared" si="56"/>
        <v>B</v>
      </c>
      <c r="D1797" t="s">
        <v>13</v>
      </c>
      <c r="E1797" t="s">
        <v>23</v>
      </c>
      <c r="F1797" t="str">
        <f t="shared" si="57"/>
        <v>Desktop</v>
      </c>
      <c r="G1797">
        <v>6</v>
      </c>
      <c r="H1797">
        <v>0</v>
      </c>
      <c r="I1797">
        <v>0</v>
      </c>
    </row>
    <row r="1798" spans="1:9">
      <c r="A1798" t="s">
        <v>1816</v>
      </c>
      <c r="B1798" t="s">
        <v>8</v>
      </c>
      <c r="C1798" t="str">
        <f t="shared" si="56"/>
        <v>A</v>
      </c>
      <c r="D1798" t="s">
        <v>13</v>
      </c>
      <c r="E1798" t="s">
        <v>10</v>
      </c>
      <c r="F1798" t="str">
        <f t="shared" si="57"/>
        <v>Mobile</v>
      </c>
      <c r="G1798">
        <v>7</v>
      </c>
      <c r="H1798">
        <v>0</v>
      </c>
      <c r="I1798">
        <v>0</v>
      </c>
    </row>
    <row r="1799" spans="1:9">
      <c r="A1799" t="s">
        <v>1817</v>
      </c>
      <c r="B1799" t="s">
        <v>8</v>
      </c>
      <c r="C1799" t="str">
        <f t="shared" si="56"/>
        <v>A</v>
      </c>
      <c r="D1799" t="s">
        <v>9</v>
      </c>
      <c r="E1799" t="s">
        <v>10</v>
      </c>
      <c r="F1799" t="str">
        <f t="shared" si="57"/>
        <v>Mobile</v>
      </c>
      <c r="G1799">
        <v>9</v>
      </c>
      <c r="H1799">
        <v>0</v>
      </c>
      <c r="I1799">
        <v>0</v>
      </c>
    </row>
    <row r="1800" spans="1:9">
      <c r="A1800" t="s">
        <v>1818</v>
      </c>
      <c r="B1800" t="s">
        <v>8</v>
      </c>
      <c r="C1800" t="str">
        <f t="shared" si="56"/>
        <v>A</v>
      </c>
      <c r="D1800" t="s">
        <v>9</v>
      </c>
      <c r="E1800" t="s">
        <v>10</v>
      </c>
      <c r="F1800" t="str">
        <f t="shared" si="57"/>
        <v>Mobile</v>
      </c>
      <c r="G1800">
        <v>8</v>
      </c>
      <c r="H1800">
        <v>0</v>
      </c>
      <c r="I1800">
        <v>0</v>
      </c>
    </row>
    <row r="1801" spans="1:9">
      <c r="A1801" t="s">
        <v>1819</v>
      </c>
      <c r="B1801" t="s">
        <v>15</v>
      </c>
      <c r="C1801" t="str">
        <f t="shared" si="56"/>
        <v>B</v>
      </c>
      <c r="D1801" t="s">
        <v>20</v>
      </c>
      <c r="E1801" t="s">
        <v>23</v>
      </c>
      <c r="F1801" t="str">
        <f t="shared" si="57"/>
        <v>Desktop</v>
      </c>
      <c r="G1801">
        <v>9</v>
      </c>
      <c r="H1801">
        <v>0</v>
      </c>
      <c r="I1801">
        <v>0</v>
      </c>
    </row>
    <row r="1802" spans="1:9">
      <c r="A1802" t="s">
        <v>1820</v>
      </c>
      <c r="B1802" t="s">
        <v>15</v>
      </c>
      <c r="C1802" t="str">
        <f t="shared" si="56"/>
        <v>B</v>
      </c>
      <c r="D1802" t="s">
        <v>18</v>
      </c>
      <c r="E1802" t="s">
        <v>10</v>
      </c>
      <c r="F1802" t="str">
        <f t="shared" si="57"/>
        <v>Mobile</v>
      </c>
      <c r="G1802">
        <v>5</v>
      </c>
      <c r="H1802">
        <v>0</v>
      </c>
      <c r="I1802">
        <v>0</v>
      </c>
    </row>
    <row r="1803" spans="1:9">
      <c r="A1803" t="s">
        <v>1821</v>
      </c>
      <c r="B1803" t="s">
        <v>8</v>
      </c>
      <c r="C1803" t="str">
        <f t="shared" si="56"/>
        <v>A</v>
      </c>
      <c r="D1803" t="s">
        <v>20</v>
      </c>
      <c r="E1803" t="s">
        <v>10</v>
      </c>
      <c r="F1803" t="str">
        <f t="shared" si="57"/>
        <v>Mobile</v>
      </c>
      <c r="G1803">
        <v>8</v>
      </c>
      <c r="H1803">
        <v>0</v>
      </c>
      <c r="I1803">
        <v>0</v>
      </c>
    </row>
    <row r="1804" spans="1:9">
      <c r="A1804" t="s">
        <v>1822</v>
      </c>
      <c r="B1804" t="s">
        <v>8</v>
      </c>
      <c r="C1804" t="str">
        <f t="shared" si="56"/>
        <v>A</v>
      </c>
      <c r="D1804" t="s">
        <v>9</v>
      </c>
      <c r="E1804" t="s">
        <v>23</v>
      </c>
      <c r="F1804" t="str">
        <f t="shared" si="57"/>
        <v>Desktop</v>
      </c>
      <c r="G1804">
        <v>7</v>
      </c>
      <c r="H1804">
        <v>0</v>
      </c>
      <c r="I1804">
        <v>0</v>
      </c>
    </row>
    <row r="1805" spans="1:9">
      <c r="A1805" t="s">
        <v>1823</v>
      </c>
      <c r="B1805" t="s">
        <v>8</v>
      </c>
      <c r="C1805" t="str">
        <f t="shared" si="56"/>
        <v>A</v>
      </c>
      <c r="D1805" t="s">
        <v>18</v>
      </c>
      <c r="E1805" t="s">
        <v>10</v>
      </c>
      <c r="F1805" t="str">
        <f t="shared" si="57"/>
        <v>Mobile</v>
      </c>
      <c r="G1805">
        <v>9</v>
      </c>
      <c r="H1805">
        <v>0</v>
      </c>
      <c r="I1805">
        <v>0</v>
      </c>
    </row>
    <row r="1806" spans="1:9">
      <c r="A1806" t="s">
        <v>1824</v>
      </c>
      <c r="B1806" t="s">
        <v>29</v>
      </c>
      <c r="C1806" t="str">
        <f t="shared" si="56"/>
        <v>B</v>
      </c>
      <c r="D1806" t="s">
        <v>20</v>
      </c>
      <c r="E1806" t="s">
        <v>10</v>
      </c>
      <c r="F1806" t="str">
        <f t="shared" si="57"/>
        <v>Mobile</v>
      </c>
      <c r="G1806">
        <v>5</v>
      </c>
      <c r="H1806">
        <v>0</v>
      </c>
      <c r="I1806">
        <v>0</v>
      </c>
    </row>
    <row r="1807" spans="1:9">
      <c r="A1807" t="s">
        <v>1825</v>
      </c>
      <c r="B1807" t="s">
        <v>8</v>
      </c>
      <c r="C1807" t="str">
        <f t="shared" si="56"/>
        <v>A</v>
      </c>
      <c r="D1807" t="s">
        <v>13</v>
      </c>
      <c r="E1807" t="s">
        <v>10</v>
      </c>
      <c r="F1807" t="str">
        <f t="shared" si="57"/>
        <v>Mobile</v>
      </c>
      <c r="G1807">
        <v>7</v>
      </c>
      <c r="H1807">
        <v>1</v>
      </c>
      <c r="I1807">
        <v>2749.88</v>
      </c>
    </row>
    <row r="1808" spans="1:9">
      <c r="A1808" t="s">
        <v>1826</v>
      </c>
      <c r="B1808" t="s">
        <v>15</v>
      </c>
      <c r="C1808" t="str">
        <f t="shared" si="56"/>
        <v>B</v>
      </c>
      <c r="D1808" t="s">
        <v>20</v>
      </c>
      <c r="E1808" t="s">
        <v>33</v>
      </c>
      <c r="F1808" t="str">
        <f t="shared" si="57"/>
        <v>Desktop</v>
      </c>
      <c r="G1808">
        <v>3</v>
      </c>
      <c r="H1808">
        <v>0</v>
      </c>
      <c r="I1808">
        <v>0</v>
      </c>
    </row>
    <row r="1809" spans="1:9">
      <c r="A1809" t="s">
        <v>1827</v>
      </c>
      <c r="B1809" t="s">
        <v>15</v>
      </c>
      <c r="C1809" t="str">
        <f t="shared" si="56"/>
        <v>B</v>
      </c>
      <c r="D1809" t="s">
        <v>20</v>
      </c>
      <c r="E1809" t="s">
        <v>16</v>
      </c>
      <c r="F1809" t="str">
        <f t="shared" si="57"/>
        <v>Mobile</v>
      </c>
      <c r="G1809">
        <v>8</v>
      </c>
      <c r="H1809">
        <v>0</v>
      </c>
      <c r="I1809">
        <v>0</v>
      </c>
    </row>
    <row r="1810" spans="1:9">
      <c r="A1810" t="s">
        <v>1828</v>
      </c>
      <c r="B1810" t="s">
        <v>8</v>
      </c>
      <c r="C1810" t="str">
        <f t="shared" si="56"/>
        <v>A</v>
      </c>
      <c r="D1810" t="s">
        <v>13</v>
      </c>
      <c r="E1810" t="s">
        <v>23</v>
      </c>
      <c r="F1810" t="str">
        <f t="shared" si="57"/>
        <v>Desktop</v>
      </c>
      <c r="G1810">
        <v>5</v>
      </c>
      <c r="H1810">
        <v>1</v>
      </c>
      <c r="I1810">
        <v>3052.82</v>
      </c>
    </row>
    <row r="1811" spans="1:9">
      <c r="A1811" t="s">
        <v>1829</v>
      </c>
      <c r="B1811" t="s">
        <v>8</v>
      </c>
      <c r="C1811" t="str">
        <f t="shared" si="56"/>
        <v>A</v>
      </c>
      <c r="D1811" t="s">
        <v>13</v>
      </c>
      <c r="E1811" t="s">
        <v>10</v>
      </c>
      <c r="F1811" t="str">
        <f t="shared" si="57"/>
        <v>Mobile</v>
      </c>
      <c r="G1811">
        <v>6</v>
      </c>
      <c r="H1811">
        <v>0</v>
      </c>
      <c r="I1811">
        <v>0</v>
      </c>
    </row>
    <row r="1812" spans="1:9">
      <c r="A1812" t="s">
        <v>1830</v>
      </c>
      <c r="B1812" t="s">
        <v>8</v>
      </c>
      <c r="C1812" t="str">
        <f t="shared" si="56"/>
        <v>A</v>
      </c>
      <c r="D1812" t="s">
        <v>18</v>
      </c>
      <c r="E1812" t="s">
        <v>23</v>
      </c>
      <c r="F1812" t="str">
        <f t="shared" si="57"/>
        <v>Desktop</v>
      </c>
      <c r="G1812">
        <v>7</v>
      </c>
      <c r="H1812">
        <v>0</v>
      </c>
      <c r="I1812">
        <v>0</v>
      </c>
    </row>
    <row r="1813" spans="1:9">
      <c r="A1813" t="s">
        <v>1831</v>
      </c>
      <c r="B1813" t="s">
        <v>15</v>
      </c>
      <c r="C1813" t="str">
        <f t="shared" si="56"/>
        <v>B</v>
      </c>
      <c r="D1813" t="s">
        <v>13</v>
      </c>
      <c r="E1813" t="s">
        <v>83</v>
      </c>
      <c r="F1813" t="str">
        <f t="shared" si="57"/>
        <v>Tablet</v>
      </c>
      <c r="G1813">
        <v>5</v>
      </c>
      <c r="H1813">
        <v>0</v>
      </c>
      <c r="I1813">
        <v>0</v>
      </c>
    </row>
    <row r="1814" spans="1:9">
      <c r="A1814" t="s">
        <v>1832</v>
      </c>
      <c r="B1814" t="s">
        <v>15</v>
      </c>
      <c r="C1814" t="str">
        <f t="shared" si="56"/>
        <v>B</v>
      </c>
      <c r="D1814" t="s">
        <v>13</v>
      </c>
      <c r="E1814" t="s">
        <v>33</v>
      </c>
      <c r="F1814" t="str">
        <f t="shared" si="57"/>
        <v>Desktop</v>
      </c>
      <c r="G1814">
        <v>9</v>
      </c>
      <c r="H1814">
        <v>0</v>
      </c>
      <c r="I1814">
        <v>0</v>
      </c>
    </row>
    <row r="1815" spans="1:9">
      <c r="A1815" t="s">
        <v>1833</v>
      </c>
      <c r="B1815" t="s">
        <v>15</v>
      </c>
      <c r="C1815" t="str">
        <f t="shared" si="56"/>
        <v>B</v>
      </c>
      <c r="D1815" t="s">
        <v>9</v>
      </c>
      <c r="E1815" t="s">
        <v>10</v>
      </c>
      <c r="F1815" t="str">
        <f t="shared" si="57"/>
        <v>Mobile</v>
      </c>
      <c r="G1815">
        <v>6</v>
      </c>
      <c r="H1815">
        <v>0</v>
      </c>
      <c r="I1815">
        <v>0</v>
      </c>
    </row>
    <row r="1816" spans="1:9">
      <c r="A1816" t="s">
        <v>1834</v>
      </c>
      <c r="B1816" t="s">
        <v>15</v>
      </c>
      <c r="C1816" t="str">
        <f t="shared" si="56"/>
        <v>B</v>
      </c>
      <c r="D1816" t="s">
        <v>18</v>
      </c>
      <c r="E1816" t="s">
        <v>23</v>
      </c>
      <c r="F1816" t="str">
        <f t="shared" si="57"/>
        <v>Desktop</v>
      </c>
      <c r="G1816">
        <v>6</v>
      </c>
      <c r="H1816">
        <v>0</v>
      </c>
      <c r="I1816">
        <v>0</v>
      </c>
    </row>
    <row r="1817" spans="1:9">
      <c r="A1817" t="s">
        <v>1835</v>
      </c>
      <c r="B1817" t="s">
        <v>8</v>
      </c>
      <c r="C1817" t="str">
        <f t="shared" si="56"/>
        <v>A</v>
      </c>
      <c r="D1817" t="s">
        <v>20</v>
      </c>
      <c r="E1817" t="s">
        <v>10</v>
      </c>
      <c r="F1817" t="str">
        <f t="shared" si="57"/>
        <v>Mobile</v>
      </c>
      <c r="G1817">
        <v>7</v>
      </c>
      <c r="H1817">
        <v>0</v>
      </c>
      <c r="I1817">
        <v>0</v>
      </c>
    </row>
    <row r="1818" spans="1:9">
      <c r="A1818" t="s">
        <v>1836</v>
      </c>
      <c r="B1818" t="s">
        <v>29</v>
      </c>
      <c r="C1818" t="str">
        <f t="shared" si="56"/>
        <v>B</v>
      </c>
      <c r="D1818" t="s">
        <v>18</v>
      </c>
      <c r="E1818" t="s">
        <v>10</v>
      </c>
      <c r="F1818" t="str">
        <f t="shared" si="57"/>
        <v>Mobile</v>
      </c>
      <c r="G1818">
        <v>6</v>
      </c>
      <c r="H1818">
        <v>0</v>
      </c>
      <c r="I1818">
        <v>0</v>
      </c>
    </row>
    <row r="1819" spans="1:9">
      <c r="A1819" t="s">
        <v>1837</v>
      </c>
      <c r="B1819" t="s">
        <v>15</v>
      </c>
      <c r="C1819" t="str">
        <f t="shared" si="56"/>
        <v>B</v>
      </c>
      <c r="D1819" t="s">
        <v>20</v>
      </c>
      <c r="E1819" t="s">
        <v>23</v>
      </c>
      <c r="F1819" t="str">
        <f t="shared" si="57"/>
        <v>Desktop</v>
      </c>
      <c r="G1819">
        <v>3</v>
      </c>
      <c r="H1819">
        <v>0</v>
      </c>
      <c r="I1819">
        <v>0</v>
      </c>
    </row>
    <row r="1820" spans="1:9">
      <c r="A1820" t="s">
        <v>1838</v>
      </c>
      <c r="B1820" t="s">
        <v>8</v>
      </c>
      <c r="C1820" t="str">
        <f t="shared" si="56"/>
        <v>A</v>
      </c>
      <c r="D1820" t="s">
        <v>9</v>
      </c>
      <c r="E1820" t="s">
        <v>10</v>
      </c>
      <c r="F1820" t="str">
        <f t="shared" si="57"/>
        <v>Mobile</v>
      </c>
      <c r="G1820">
        <v>8</v>
      </c>
      <c r="H1820">
        <v>0</v>
      </c>
      <c r="I1820">
        <v>0</v>
      </c>
    </row>
    <row r="1821" spans="1:9">
      <c r="A1821" t="s">
        <v>1839</v>
      </c>
      <c r="B1821" t="s">
        <v>29</v>
      </c>
      <c r="C1821" t="str">
        <f t="shared" si="56"/>
        <v>B</v>
      </c>
      <c r="D1821" t="s">
        <v>20</v>
      </c>
      <c r="E1821" t="s">
        <v>33</v>
      </c>
      <c r="F1821" t="str">
        <f t="shared" si="57"/>
        <v>Desktop</v>
      </c>
      <c r="G1821">
        <v>9</v>
      </c>
      <c r="H1821">
        <v>0</v>
      </c>
      <c r="I1821">
        <v>0</v>
      </c>
    </row>
    <row r="1822" spans="1:9">
      <c r="A1822" t="s">
        <v>1840</v>
      </c>
      <c r="B1822" t="s">
        <v>15</v>
      </c>
      <c r="C1822" t="str">
        <f t="shared" si="56"/>
        <v>B</v>
      </c>
      <c r="D1822" t="s">
        <v>20</v>
      </c>
      <c r="E1822" t="s">
        <v>10</v>
      </c>
      <c r="F1822" t="str">
        <f t="shared" si="57"/>
        <v>Mobile</v>
      </c>
      <c r="G1822">
        <v>11</v>
      </c>
      <c r="H1822">
        <v>0</v>
      </c>
      <c r="I1822">
        <v>0</v>
      </c>
    </row>
    <row r="1823" spans="1:9">
      <c r="A1823" t="s">
        <v>1841</v>
      </c>
      <c r="B1823" t="s">
        <v>15</v>
      </c>
      <c r="C1823" t="str">
        <f t="shared" si="56"/>
        <v>B</v>
      </c>
      <c r="D1823" t="s">
        <v>13</v>
      </c>
      <c r="E1823" t="s">
        <v>10</v>
      </c>
      <c r="F1823" t="str">
        <f t="shared" si="57"/>
        <v>Mobile</v>
      </c>
      <c r="G1823">
        <v>2</v>
      </c>
      <c r="H1823">
        <v>0</v>
      </c>
      <c r="I1823">
        <v>0</v>
      </c>
    </row>
    <row r="1824" spans="1:9">
      <c r="A1824" t="s">
        <v>1842</v>
      </c>
      <c r="B1824" t="s">
        <v>15</v>
      </c>
      <c r="C1824" t="str">
        <f t="shared" si="56"/>
        <v>B</v>
      </c>
      <c r="D1824" t="s">
        <v>13</v>
      </c>
      <c r="E1824" t="s">
        <v>33</v>
      </c>
      <c r="F1824" t="str">
        <f t="shared" si="57"/>
        <v>Desktop</v>
      </c>
      <c r="G1824">
        <v>3</v>
      </c>
      <c r="H1824">
        <v>0</v>
      </c>
      <c r="I1824">
        <v>0</v>
      </c>
    </row>
    <row r="1825" spans="1:9">
      <c r="A1825" t="s">
        <v>1843</v>
      </c>
      <c r="B1825" t="s">
        <v>15</v>
      </c>
      <c r="C1825" t="str">
        <f t="shared" si="56"/>
        <v>B</v>
      </c>
      <c r="D1825" t="s">
        <v>20</v>
      </c>
      <c r="E1825" t="s">
        <v>33</v>
      </c>
      <c r="F1825" t="str">
        <f t="shared" si="57"/>
        <v>Desktop</v>
      </c>
      <c r="G1825">
        <v>6</v>
      </c>
      <c r="H1825">
        <v>1</v>
      </c>
      <c r="I1825">
        <v>1629.73</v>
      </c>
    </row>
    <row r="1826" spans="1:9">
      <c r="A1826" t="s">
        <v>1844</v>
      </c>
      <c r="B1826" t="s">
        <v>15</v>
      </c>
      <c r="C1826" t="str">
        <f t="shared" si="56"/>
        <v>B</v>
      </c>
      <c r="D1826" t="s">
        <v>20</v>
      </c>
      <c r="E1826" t="s">
        <v>10</v>
      </c>
      <c r="F1826" t="str">
        <f t="shared" si="57"/>
        <v>Mobile</v>
      </c>
      <c r="G1826">
        <v>4</v>
      </c>
      <c r="H1826">
        <v>0</v>
      </c>
      <c r="I1826">
        <v>0</v>
      </c>
    </row>
    <row r="1827" spans="1:9">
      <c r="A1827" t="s">
        <v>1845</v>
      </c>
      <c r="B1827" t="s">
        <v>8</v>
      </c>
      <c r="C1827" t="str">
        <f t="shared" si="56"/>
        <v>A</v>
      </c>
      <c r="D1827" t="s">
        <v>13</v>
      </c>
      <c r="E1827" t="s">
        <v>10</v>
      </c>
      <c r="F1827" t="str">
        <f t="shared" si="57"/>
        <v>Mobile</v>
      </c>
      <c r="G1827">
        <v>7</v>
      </c>
      <c r="H1827">
        <v>0</v>
      </c>
      <c r="I1827">
        <v>0</v>
      </c>
    </row>
    <row r="1828" spans="1:9">
      <c r="A1828" t="s">
        <v>1846</v>
      </c>
      <c r="B1828" t="s">
        <v>8</v>
      </c>
      <c r="C1828" t="str">
        <f t="shared" si="56"/>
        <v>A</v>
      </c>
      <c r="D1828" t="s">
        <v>9</v>
      </c>
      <c r="E1828" t="s">
        <v>23</v>
      </c>
      <c r="F1828" t="str">
        <f t="shared" si="57"/>
        <v>Desktop</v>
      </c>
      <c r="G1828">
        <v>7</v>
      </c>
      <c r="H1828">
        <v>0</v>
      </c>
      <c r="I1828">
        <v>0</v>
      </c>
    </row>
    <row r="1829" spans="1:9">
      <c r="A1829" t="s">
        <v>1847</v>
      </c>
      <c r="B1829" t="s">
        <v>12</v>
      </c>
      <c r="C1829" t="str">
        <f t="shared" si="56"/>
        <v>A</v>
      </c>
      <c r="D1829" t="s">
        <v>20</v>
      </c>
      <c r="E1829" t="s">
        <v>10</v>
      </c>
      <c r="F1829" t="str">
        <f t="shared" si="57"/>
        <v>Mobile</v>
      </c>
      <c r="G1829">
        <v>4</v>
      </c>
      <c r="H1829">
        <v>0</v>
      </c>
      <c r="I1829">
        <v>0</v>
      </c>
    </row>
    <row r="1830" spans="1:9">
      <c r="A1830" t="s">
        <v>1848</v>
      </c>
      <c r="B1830" t="s">
        <v>8</v>
      </c>
      <c r="C1830" t="str">
        <f t="shared" si="56"/>
        <v>A</v>
      </c>
      <c r="D1830" t="s">
        <v>20</v>
      </c>
      <c r="E1830" t="s">
        <v>33</v>
      </c>
      <c r="F1830" t="str">
        <f t="shared" si="57"/>
        <v>Desktop</v>
      </c>
      <c r="G1830">
        <v>5</v>
      </c>
      <c r="H1830">
        <v>0</v>
      </c>
      <c r="I1830">
        <v>0</v>
      </c>
    </row>
    <row r="1831" spans="1:9">
      <c r="A1831" t="s">
        <v>1849</v>
      </c>
      <c r="B1831" t="s">
        <v>8</v>
      </c>
      <c r="C1831" t="str">
        <f t="shared" si="56"/>
        <v>A</v>
      </c>
      <c r="D1831" t="s">
        <v>13</v>
      </c>
      <c r="E1831" t="s">
        <v>33</v>
      </c>
      <c r="F1831" t="str">
        <f t="shared" si="57"/>
        <v>Desktop</v>
      </c>
      <c r="G1831">
        <v>4</v>
      </c>
      <c r="H1831">
        <v>0</v>
      </c>
      <c r="I1831">
        <v>0</v>
      </c>
    </row>
    <row r="1832" spans="1:9">
      <c r="A1832" t="s">
        <v>1850</v>
      </c>
      <c r="B1832" t="s">
        <v>8</v>
      </c>
      <c r="C1832" t="str">
        <f t="shared" si="56"/>
        <v>A</v>
      </c>
      <c r="D1832" t="s">
        <v>20</v>
      </c>
      <c r="E1832" t="s">
        <v>10</v>
      </c>
      <c r="F1832" t="str">
        <f t="shared" si="57"/>
        <v>Mobile</v>
      </c>
      <c r="G1832">
        <v>6</v>
      </c>
      <c r="H1832">
        <v>0</v>
      </c>
      <c r="I1832">
        <v>0</v>
      </c>
    </row>
    <row r="1833" spans="1:9">
      <c r="A1833" t="s">
        <v>1851</v>
      </c>
      <c r="B1833" t="s">
        <v>8</v>
      </c>
      <c r="C1833" t="str">
        <f t="shared" si="56"/>
        <v>A</v>
      </c>
      <c r="D1833" t="s">
        <v>9</v>
      </c>
      <c r="E1833" t="s">
        <v>10</v>
      </c>
      <c r="F1833" t="str">
        <f t="shared" si="57"/>
        <v>Mobile</v>
      </c>
      <c r="G1833">
        <v>7</v>
      </c>
      <c r="H1833">
        <v>1</v>
      </c>
      <c r="I1833">
        <v>5060.13</v>
      </c>
    </row>
    <row r="1834" spans="1:9">
      <c r="A1834" t="s">
        <v>1852</v>
      </c>
      <c r="B1834" t="s">
        <v>15</v>
      </c>
      <c r="C1834" t="str">
        <f t="shared" si="56"/>
        <v>B</v>
      </c>
      <c r="D1834" t="s">
        <v>9</v>
      </c>
      <c r="E1834" t="s">
        <v>10</v>
      </c>
      <c r="F1834" t="str">
        <f t="shared" si="57"/>
        <v>Mobile</v>
      </c>
      <c r="G1834">
        <v>5</v>
      </c>
      <c r="H1834">
        <v>0</v>
      </c>
      <c r="I1834">
        <v>0</v>
      </c>
    </row>
    <row r="1835" spans="1:9">
      <c r="A1835" t="s">
        <v>1853</v>
      </c>
      <c r="B1835" t="s">
        <v>12</v>
      </c>
      <c r="C1835" t="str">
        <f t="shared" si="56"/>
        <v>A</v>
      </c>
      <c r="D1835" t="s">
        <v>13</v>
      </c>
      <c r="E1835" t="s">
        <v>33</v>
      </c>
      <c r="F1835" t="str">
        <f t="shared" si="57"/>
        <v>Desktop</v>
      </c>
      <c r="G1835">
        <v>4</v>
      </c>
      <c r="H1835">
        <v>0</v>
      </c>
      <c r="I1835">
        <v>0</v>
      </c>
    </row>
    <row r="1836" spans="1:9">
      <c r="A1836" t="s">
        <v>1854</v>
      </c>
      <c r="B1836" t="s">
        <v>8</v>
      </c>
      <c r="C1836" t="str">
        <f t="shared" si="56"/>
        <v>A</v>
      </c>
      <c r="D1836" t="s">
        <v>20</v>
      </c>
      <c r="E1836" t="s">
        <v>10</v>
      </c>
      <c r="F1836" t="str">
        <f t="shared" si="57"/>
        <v>Mobile</v>
      </c>
      <c r="G1836">
        <v>6</v>
      </c>
      <c r="H1836">
        <v>1</v>
      </c>
      <c r="I1836">
        <v>1507.06</v>
      </c>
    </row>
    <row r="1837" spans="1:9">
      <c r="A1837" t="s">
        <v>1855</v>
      </c>
      <c r="B1837" t="s">
        <v>8</v>
      </c>
      <c r="C1837" t="str">
        <f t="shared" si="56"/>
        <v>A</v>
      </c>
      <c r="D1837" t="s">
        <v>9</v>
      </c>
      <c r="E1837" t="s">
        <v>10</v>
      </c>
      <c r="F1837" t="str">
        <f t="shared" si="57"/>
        <v>Mobile</v>
      </c>
      <c r="G1837">
        <v>10</v>
      </c>
      <c r="H1837">
        <v>0</v>
      </c>
      <c r="I1837">
        <v>0</v>
      </c>
    </row>
    <row r="1838" spans="1:9">
      <c r="A1838" t="s">
        <v>1856</v>
      </c>
      <c r="B1838" t="s">
        <v>8</v>
      </c>
      <c r="C1838" t="str">
        <f t="shared" si="56"/>
        <v>A</v>
      </c>
      <c r="D1838" t="s">
        <v>13</v>
      </c>
      <c r="E1838" t="s">
        <v>10</v>
      </c>
      <c r="F1838" t="str">
        <f t="shared" si="57"/>
        <v>Mobile</v>
      </c>
      <c r="G1838">
        <v>9</v>
      </c>
      <c r="H1838">
        <v>0</v>
      </c>
      <c r="I1838">
        <v>0</v>
      </c>
    </row>
    <row r="1839" spans="1:9">
      <c r="A1839" t="s">
        <v>1857</v>
      </c>
      <c r="B1839" t="s">
        <v>15</v>
      </c>
      <c r="C1839" t="str">
        <f t="shared" si="56"/>
        <v>B</v>
      </c>
      <c r="D1839" t="s">
        <v>9</v>
      </c>
      <c r="E1839" t="s">
        <v>23</v>
      </c>
      <c r="F1839" t="str">
        <f t="shared" si="57"/>
        <v>Desktop</v>
      </c>
      <c r="G1839">
        <v>5</v>
      </c>
      <c r="H1839">
        <v>1</v>
      </c>
      <c r="I1839">
        <v>7530.68</v>
      </c>
    </row>
    <row r="1840" spans="1:9">
      <c r="A1840" t="s">
        <v>1858</v>
      </c>
      <c r="B1840" t="s">
        <v>15</v>
      </c>
      <c r="C1840" t="str">
        <f t="shared" si="56"/>
        <v>B</v>
      </c>
      <c r="D1840" t="s">
        <v>13</v>
      </c>
      <c r="E1840" t="s">
        <v>10</v>
      </c>
      <c r="F1840" t="str">
        <f t="shared" si="57"/>
        <v>Mobile</v>
      </c>
      <c r="G1840">
        <v>4</v>
      </c>
      <c r="H1840">
        <v>0</v>
      </c>
      <c r="I1840">
        <v>0</v>
      </c>
    </row>
    <row r="1841" spans="1:9">
      <c r="A1841" t="s">
        <v>1859</v>
      </c>
      <c r="B1841" t="s">
        <v>8</v>
      </c>
      <c r="C1841" t="str">
        <f t="shared" si="56"/>
        <v>A</v>
      </c>
      <c r="D1841" t="s">
        <v>9</v>
      </c>
      <c r="E1841" t="s">
        <v>10</v>
      </c>
      <c r="F1841" t="str">
        <f t="shared" si="57"/>
        <v>Mobile</v>
      </c>
      <c r="G1841">
        <v>5</v>
      </c>
      <c r="H1841">
        <v>0</v>
      </c>
      <c r="I1841">
        <v>0</v>
      </c>
    </row>
    <row r="1842" spans="1:9">
      <c r="A1842" t="s">
        <v>1860</v>
      </c>
      <c r="B1842" t="s">
        <v>15</v>
      </c>
      <c r="C1842" t="str">
        <f t="shared" si="56"/>
        <v>B</v>
      </c>
      <c r="D1842" t="s">
        <v>13</v>
      </c>
      <c r="E1842" t="s">
        <v>33</v>
      </c>
      <c r="F1842" t="str">
        <f t="shared" si="57"/>
        <v>Desktop</v>
      </c>
      <c r="G1842">
        <v>6</v>
      </c>
      <c r="H1842">
        <v>1</v>
      </c>
      <c r="I1842">
        <v>2868.4</v>
      </c>
    </row>
    <row r="1843" spans="1:9">
      <c r="A1843" t="s">
        <v>1861</v>
      </c>
      <c r="B1843" t="s">
        <v>15</v>
      </c>
      <c r="C1843" t="str">
        <f t="shared" si="56"/>
        <v>B</v>
      </c>
      <c r="D1843" t="s">
        <v>20</v>
      </c>
      <c r="E1843" t="s">
        <v>33</v>
      </c>
      <c r="F1843" t="str">
        <f t="shared" si="57"/>
        <v>Desktop</v>
      </c>
      <c r="G1843">
        <v>5</v>
      </c>
      <c r="H1843">
        <v>0</v>
      </c>
      <c r="I1843">
        <v>0</v>
      </c>
    </row>
    <row r="1844" spans="1:9">
      <c r="A1844" t="s">
        <v>1862</v>
      </c>
      <c r="B1844" t="s">
        <v>15</v>
      </c>
      <c r="C1844" t="str">
        <f t="shared" si="56"/>
        <v>B</v>
      </c>
      <c r="D1844" t="s">
        <v>18</v>
      </c>
      <c r="E1844" t="s">
        <v>23</v>
      </c>
      <c r="F1844" t="str">
        <f t="shared" si="57"/>
        <v>Desktop</v>
      </c>
      <c r="G1844">
        <v>6</v>
      </c>
      <c r="H1844">
        <v>0</v>
      </c>
      <c r="I1844">
        <v>0</v>
      </c>
    </row>
    <row r="1845" spans="1:9">
      <c r="A1845" t="s">
        <v>1863</v>
      </c>
      <c r="B1845" t="s">
        <v>15</v>
      </c>
      <c r="C1845" t="str">
        <f t="shared" si="56"/>
        <v>B</v>
      </c>
      <c r="D1845" t="s">
        <v>13</v>
      </c>
      <c r="E1845" t="s">
        <v>10</v>
      </c>
      <c r="F1845" t="str">
        <f t="shared" si="57"/>
        <v>Mobile</v>
      </c>
      <c r="G1845">
        <v>4</v>
      </c>
      <c r="H1845">
        <v>0</v>
      </c>
      <c r="I1845">
        <v>0</v>
      </c>
    </row>
    <row r="1846" spans="1:9">
      <c r="A1846" t="s">
        <v>1864</v>
      </c>
      <c r="B1846" t="s">
        <v>8</v>
      </c>
      <c r="C1846" t="str">
        <f t="shared" si="56"/>
        <v>A</v>
      </c>
      <c r="D1846" t="s">
        <v>13</v>
      </c>
      <c r="E1846" t="s">
        <v>10</v>
      </c>
      <c r="F1846" t="str">
        <f t="shared" si="57"/>
        <v>Mobile</v>
      </c>
      <c r="G1846">
        <v>10</v>
      </c>
      <c r="H1846">
        <v>0</v>
      </c>
      <c r="I1846">
        <v>0</v>
      </c>
    </row>
    <row r="1847" spans="1:9">
      <c r="A1847" t="s">
        <v>1865</v>
      </c>
      <c r="B1847" t="s">
        <v>15</v>
      </c>
      <c r="C1847" t="str">
        <f t="shared" si="56"/>
        <v>B</v>
      </c>
      <c r="D1847" t="s">
        <v>20</v>
      </c>
      <c r="E1847" t="s">
        <v>23</v>
      </c>
      <c r="F1847" t="str">
        <f t="shared" si="57"/>
        <v>Desktop</v>
      </c>
      <c r="G1847">
        <v>10</v>
      </c>
      <c r="H1847">
        <v>0</v>
      </c>
      <c r="I1847">
        <v>0</v>
      </c>
    </row>
    <row r="1848" spans="1:9">
      <c r="A1848" t="s">
        <v>1866</v>
      </c>
      <c r="B1848" t="s">
        <v>15</v>
      </c>
      <c r="C1848" t="str">
        <f t="shared" si="56"/>
        <v>B</v>
      </c>
      <c r="D1848" t="s">
        <v>13</v>
      </c>
      <c r="E1848" t="s">
        <v>10</v>
      </c>
      <c r="F1848" t="str">
        <f t="shared" si="57"/>
        <v>Mobile</v>
      </c>
      <c r="G1848">
        <v>9</v>
      </c>
      <c r="H1848">
        <v>0</v>
      </c>
      <c r="I1848">
        <v>0</v>
      </c>
    </row>
    <row r="1849" spans="1:9">
      <c r="A1849" t="s">
        <v>1867</v>
      </c>
      <c r="B1849" t="s">
        <v>15</v>
      </c>
      <c r="C1849" t="str">
        <f t="shared" si="56"/>
        <v>B</v>
      </c>
      <c r="D1849" t="s">
        <v>13</v>
      </c>
      <c r="E1849" t="s">
        <v>33</v>
      </c>
      <c r="F1849" t="str">
        <f t="shared" si="57"/>
        <v>Desktop</v>
      </c>
      <c r="G1849">
        <v>2</v>
      </c>
      <c r="H1849">
        <v>0</v>
      </c>
      <c r="I1849">
        <v>0</v>
      </c>
    </row>
    <row r="1850" spans="1:9">
      <c r="A1850" t="s">
        <v>1868</v>
      </c>
      <c r="B1850" t="s">
        <v>15</v>
      </c>
      <c r="C1850" t="str">
        <f t="shared" si="56"/>
        <v>B</v>
      </c>
      <c r="D1850" t="s">
        <v>20</v>
      </c>
      <c r="E1850" t="s">
        <v>23</v>
      </c>
      <c r="F1850" t="str">
        <f t="shared" si="57"/>
        <v>Desktop</v>
      </c>
      <c r="G1850">
        <v>8</v>
      </c>
      <c r="H1850">
        <v>0</v>
      </c>
      <c r="I1850">
        <v>0</v>
      </c>
    </row>
    <row r="1851" spans="1:9">
      <c r="A1851" t="s">
        <v>1869</v>
      </c>
      <c r="B1851" t="s">
        <v>15</v>
      </c>
      <c r="C1851" t="str">
        <f t="shared" si="56"/>
        <v>B</v>
      </c>
      <c r="D1851" t="s">
        <v>20</v>
      </c>
      <c r="E1851" t="s">
        <v>10</v>
      </c>
      <c r="F1851" t="str">
        <f t="shared" si="57"/>
        <v>Mobile</v>
      </c>
      <c r="G1851">
        <v>8</v>
      </c>
      <c r="H1851">
        <v>0</v>
      </c>
      <c r="I1851">
        <v>0</v>
      </c>
    </row>
    <row r="1852" spans="1:9">
      <c r="A1852" t="s">
        <v>1870</v>
      </c>
      <c r="B1852" t="s">
        <v>15</v>
      </c>
      <c r="C1852" t="str">
        <f t="shared" si="56"/>
        <v>B</v>
      </c>
      <c r="D1852" t="s">
        <v>13</v>
      </c>
      <c r="E1852" t="s">
        <v>33</v>
      </c>
      <c r="F1852" t="str">
        <f t="shared" si="57"/>
        <v>Desktop</v>
      </c>
      <c r="G1852">
        <v>13</v>
      </c>
      <c r="H1852">
        <v>0</v>
      </c>
      <c r="I1852">
        <v>0</v>
      </c>
    </row>
    <row r="1853" spans="1:9">
      <c r="A1853" t="s">
        <v>1871</v>
      </c>
      <c r="B1853" t="s">
        <v>8</v>
      </c>
      <c r="C1853" t="str">
        <f t="shared" si="56"/>
        <v>A</v>
      </c>
      <c r="D1853" t="s">
        <v>13</v>
      </c>
      <c r="E1853" t="s">
        <v>33</v>
      </c>
      <c r="F1853" t="str">
        <f t="shared" si="57"/>
        <v>Desktop</v>
      </c>
      <c r="G1853">
        <v>3</v>
      </c>
      <c r="H1853">
        <v>0</v>
      </c>
      <c r="I1853">
        <v>0</v>
      </c>
    </row>
    <row r="1854" spans="1:9">
      <c r="A1854" t="s">
        <v>1872</v>
      </c>
      <c r="B1854" t="s">
        <v>15</v>
      </c>
      <c r="C1854" t="str">
        <f t="shared" si="56"/>
        <v>B</v>
      </c>
      <c r="D1854" t="s">
        <v>13</v>
      </c>
      <c r="E1854" t="s">
        <v>10</v>
      </c>
      <c r="F1854" t="str">
        <f t="shared" si="57"/>
        <v>Mobile</v>
      </c>
      <c r="G1854">
        <v>4</v>
      </c>
      <c r="H1854">
        <v>0</v>
      </c>
      <c r="I1854">
        <v>0</v>
      </c>
    </row>
    <row r="1855" spans="1:9">
      <c r="A1855" t="s">
        <v>1873</v>
      </c>
      <c r="B1855" t="s">
        <v>29</v>
      </c>
      <c r="C1855" t="str">
        <f t="shared" si="56"/>
        <v>B</v>
      </c>
      <c r="D1855" t="s">
        <v>20</v>
      </c>
      <c r="E1855" t="s">
        <v>23</v>
      </c>
      <c r="F1855" t="str">
        <f t="shared" si="57"/>
        <v>Desktop</v>
      </c>
      <c r="G1855">
        <v>7</v>
      </c>
      <c r="H1855">
        <v>0</v>
      </c>
      <c r="I1855">
        <v>0</v>
      </c>
    </row>
    <row r="1856" spans="1:9">
      <c r="A1856" t="s">
        <v>1874</v>
      </c>
      <c r="B1856" t="s">
        <v>12</v>
      </c>
      <c r="C1856" t="str">
        <f t="shared" si="56"/>
        <v>A</v>
      </c>
      <c r="D1856" t="s">
        <v>13</v>
      </c>
      <c r="E1856" t="s">
        <v>10</v>
      </c>
      <c r="F1856" t="str">
        <f t="shared" si="57"/>
        <v>Mobile</v>
      </c>
      <c r="G1856">
        <v>5</v>
      </c>
      <c r="H1856">
        <v>1</v>
      </c>
      <c r="I1856">
        <v>2466.85</v>
      </c>
    </row>
    <row r="1857" spans="1:9">
      <c r="A1857" t="s">
        <v>1875</v>
      </c>
      <c r="B1857" t="s">
        <v>8</v>
      </c>
      <c r="C1857" t="str">
        <f t="shared" si="56"/>
        <v>A</v>
      </c>
      <c r="D1857" t="s">
        <v>20</v>
      </c>
      <c r="E1857" t="s">
        <v>10</v>
      </c>
      <c r="F1857" t="str">
        <f t="shared" si="57"/>
        <v>Mobile</v>
      </c>
      <c r="G1857">
        <v>7</v>
      </c>
      <c r="H1857">
        <v>0</v>
      </c>
      <c r="I1857">
        <v>0</v>
      </c>
    </row>
    <row r="1858" spans="1:9">
      <c r="A1858" t="s">
        <v>1876</v>
      </c>
      <c r="B1858" t="s">
        <v>8</v>
      </c>
      <c r="C1858" t="str">
        <f t="shared" ref="C1858:C1921" si="58">IF(OR(B1858="control", B1858="A"), "A", "B")</f>
        <v>A</v>
      </c>
      <c r="D1858" t="s">
        <v>13</v>
      </c>
      <c r="E1858" t="s">
        <v>10</v>
      </c>
      <c r="F1858" t="str">
        <f t="shared" ref="F1858:F1921" si="59">PROPER(E1858)</f>
        <v>Mobile</v>
      </c>
      <c r="G1858">
        <v>6</v>
      </c>
      <c r="H1858">
        <v>0</v>
      </c>
      <c r="I1858">
        <v>0</v>
      </c>
    </row>
    <row r="1859" spans="1:9">
      <c r="A1859" t="s">
        <v>1877</v>
      </c>
      <c r="B1859" t="s">
        <v>8</v>
      </c>
      <c r="C1859" t="str">
        <f t="shared" si="58"/>
        <v>A</v>
      </c>
      <c r="D1859" t="s">
        <v>20</v>
      </c>
      <c r="E1859" t="s">
        <v>23</v>
      </c>
      <c r="F1859" t="str">
        <f t="shared" si="59"/>
        <v>Desktop</v>
      </c>
      <c r="G1859">
        <v>3</v>
      </c>
      <c r="H1859">
        <v>0</v>
      </c>
      <c r="I1859">
        <v>0</v>
      </c>
    </row>
    <row r="1860" spans="1:9">
      <c r="A1860" t="s">
        <v>1878</v>
      </c>
      <c r="B1860" t="s">
        <v>15</v>
      </c>
      <c r="C1860" t="str">
        <f t="shared" si="58"/>
        <v>B</v>
      </c>
      <c r="D1860" t="s">
        <v>20</v>
      </c>
      <c r="E1860" t="s">
        <v>33</v>
      </c>
      <c r="F1860" t="str">
        <f t="shared" si="59"/>
        <v>Desktop</v>
      </c>
      <c r="G1860">
        <v>8</v>
      </c>
      <c r="H1860">
        <v>0</v>
      </c>
      <c r="I1860">
        <v>0</v>
      </c>
    </row>
    <row r="1861" spans="1:9">
      <c r="A1861" t="s">
        <v>1879</v>
      </c>
      <c r="B1861" t="s">
        <v>15</v>
      </c>
      <c r="C1861" t="str">
        <f t="shared" si="58"/>
        <v>B</v>
      </c>
      <c r="D1861" t="s">
        <v>20</v>
      </c>
      <c r="E1861" t="s">
        <v>10</v>
      </c>
      <c r="F1861" t="str">
        <f t="shared" si="59"/>
        <v>Mobile</v>
      </c>
      <c r="G1861">
        <v>13</v>
      </c>
      <c r="H1861">
        <v>0</v>
      </c>
      <c r="I1861">
        <v>0</v>
      </c>
    </row>
    <row r="1862" spans="1:9">
      <c r="A1862" t="s">
        <v>1880</v>
      </c>
      <c r="B1862" t="s">
        <v>8</v>
      </c>
      <c r="C1862" t="str">
        <f t="shared" si="58"/>
        <v>A</v>
      </c>
      <c r="D1862" t="s">
        <v>20</v>
      </c>
      <c r="E1862" t="s">
        <v>10</v>
      </c>
      <c r="F1862" t="str">
        <f t="shared" si="59"/>
        <v>Mobile</v>
      </c>
      <c r="G1862">
        <v>9</v>
      </c>
      <c r="H1862">
        <v>0</v>
      </c>
      <c r="I1862">
        <v>0</v>
      </c>
    </row>
    <row r="1863" spans="1:9">
      <c r="A1863" t="s">
        <v>1881</v>
      </c>
      <c r="B1863" t="s">
        <v>15</v>
      </c>
      <c r="C1863" t="str">
        <f t="shared" si="58"/>
        <v>B</v>
      </c>
      <c r="D1863" t="s">
        <v>20</v>
      </c>
      <c r="E1863" t="s">
        <v>23</v>
      </c>
      <c r="F1863" t="str">
        <f t="shared" si="59"/>
        <v>Desktop</v>
      </c>
      <c r="G1863">
        <v>8</v>
      </c>
      <c r="H1863">
        <v>0</v>
      </c>
      <c r="I1863">
        <v>0</v>
      </c>
    </row>
    <row r="1864" spans="1:9">
      <c r="A1864" t="s">
        <v>1882</v>
      </c>
      <c r="B1864" t="s">
        <v>15</v>
      </c>
      <c r="C1864" t="str">
        <f t="shared" si="58"/>
        <v>B</v>
      </c>
      <c r="D1864" t="s">
        <v>20</v>
      </c>
      <c r="E1864" t="s">
        <v>10</v>
      </c>
      <c r="F1864" t="str">
        <f t="shared" si="59"/>
        <v>Mobile</v>
      </c>
      <c r="G1864">
        <v>7</v>
      </c>
      <c r="H1864">
        <v>0</v>
      </c>
      <c r="I1864">
        <v>0</v>
      </c>
    </row>
    <row r="1865" spans="1:9">
      <c r="A1865" t="s">
        <v>1883</v>
      </c>
      <c r="B1865" t="s">
        <v>15</v>
      </c>
      <c r="C1865" t="str">
        <f t="shared" si="58"/>
        <v>B</v>
      </c>
      <c r="D1865" t="s">
        <v>13</v>
      </c>
      <c r="E1865" t="s">
        <v>16</v>
      </c>
      <c r="F1865" t="str">
        <f t="shared" si="59"/>
        <v>Mobile</v>
      </c>
      <c r="G1865">
        <v>5</v>
      </c>
      <c r="H1865">
        <v>0</v>
      </c>
      <c r="I1865">
        <v>0</v>
      </c>
    </row>
    <row r="1866" spans="1:9">
      <c r="A1866" t="s">
        <v>1884</v>
      </c>
      <c r="B1866" t="s">
        <v>15</v>
      </c>
      <c r="C1866" t="str">
        <f t="shared" si="58"/>
        <v>B</v>
      </c>
      <c r="D1866" t="s">
        <v>13</v>
      </c>
      <c r="E1866" t="s">
        <v>10</v>
      </c>
      <c r="F1866" t="str">
        <f t="shared" si="59"/>
        <v>Mobile</v>
      </c>
      <c r="G1866">
        <v>9</v>
      </c>
      <c r="H1866">
        <v>0</v>
      </c>
      <c r="I1866">
        <v>0</v>
      </c>
    </row>
    <row r="1867" spans="1:9">
      <c r="A1867" t="s">
        <v>1885</v>
      </c>
      <c r="B1867" t="s">
        <v>15</v>
      </c>
      <c r="C1867" t="str">
        <f t="shared" si="58"/>
        <v>B</v>
      </c>
      <c r="D1867" t="s">
        <v>20</v>
      </c>
      <c r="E1867" t="s">
        <v>10</v>
      </c>
      <c r="F1867" t="str">
        <f t="shared" si="59"/>
        <v>Mobile</v>
      </c>
      <c r="G1867">
        <v>7</v>
      </c>
      <c r="H1867">
        <v>0</v>
      </c>
      <c r="I1867">
        <v>0</v>
      </c>
    </row>
    <row r="1868" spans="1:9">
      <c r="A1868" t="s">
        <v>1886</v>
      </c>
      <c r="B1868" t="s">
        <v>15</v>
      </c>
      <c r="C1868" t="str">
        <f t="shared" si="58"/>
        <v>B</v>
      </c>
      <c r="D1868" t="s">
        <v>9</v>
      </c>
      <c r="E1868" t="s">
        <v>10</v>
      </c>
      <c r="F1868" t="str">
        <f t="shared" si="59"/>
        <v>Mobile</v>
      </c>
      <c r="G1868">
        <v>8</v>
      </c>
      <c r="H1868">
        <v>0</v>
      </c>
      <c r="I1868">
        <v>0</v>
      </c>
    </row>
    <row r="1869" spans="1:9">
      <c r="A1869" t="s">
        <v>1887</v>
      </c>
      <c r="B1869" t="s">
        <v>8</v>
      </c>
      <c r="C1869" t="str">
        <f t="shared" si="58"/>
        <v>A</v>
      </c>
      <c r="D1869" t="s">
        <v>20</v>
      </c>
      <c r="E1869" t="s">
        <v>23</v>
      </c>
      <c r="F1869" t="str">
        <f t="shared" si="59"/>
        <v>Desktop</v>
      </c>
      <c r="G1869">
        <v>5</v>
      </c>
      <c r="H1869">
        <v>0</v>
      </c>
      <c r="I1869">
        <v>0</v>
      </c>
    </row>
    <row r="1870" spans="1:9">
      <c r="A1870" t="s">
        <v>1888</v>
      </c>
      <c r="B1870" t="s">
        <v>15</v>
      </c>
      <c r="C1870" t="str">
        <f t="shared" si="58"/>
        <v>B</v>
      </c>
      <c r="D1870" t="s">
        <v>13</v>
      </c>
      <c r="E1870" t="s">
        <v>10</v>
      </c>
      <c r="F1870" t="str">
        <f t="shared" si="59"/>
        <v>Mobile</v>
      </c>
      <c r="G1870">
        <v>5</v>
      </c>
      <c r="H1870">
        <v>0</v>
      </c>
      <c r="I1870">
        <v>0</v>
      </c>
    </row>
    <row r="1871" spans="1:9">
      <c r="A1871" t="s">
        <v>1889</v>
      </c>
      <c r="B1871" t="s">
        <v>15</v>
      </c>
      <c r="C1871" t="str">
        <f t="shared" si="58"/>
        <v>B</v>
      </c>
      <c r="D1871" t="s">
        <v>20</v>
      </c>
      <c r="E1871" t="s">
        <v>23</v>
      </c>
      <c r="F1871" t="str">
        <f t="shared" si="59"/>
        <v>Desktop</v>
      </c>
      <c r="G1871">
        <v>6</v>
      </c>
      <c r="H1871">
        <v>1</v>
      </c>
      <c r="I1871">
        <v>1033.48</v>
      </c>
    </row>
    <row r="1872" spans="1:9">
      <c r="A1872" t="s">
        <v>1890</v>
      </c>
      <c r="B1872" t="s">
        <v>15</v>
      </c>
      <c r="C1872" t="str">
        <f t="shared" si="58"/>
        <v>B</v>
      </c>
      <c r="D1872" t="s">
        <v>20</v>
      </c>
      <c r="E1872" t="s">
        <v>10</v>
      </c>
      <c r="F1872" t="str">
        <f t="shared" si="59"/>
        <v>Mobile</v>
      </c>
      <c r="G1872">
        <v>6</v>
      </c>
      <c r="H1872">
        <v>0</v>
      </c>
      <c r="I1872">
        <v>0</v>
      </c>
    </row>
    <row r="1873" spans="1:9">
      <c r="A1873" t="s">
        <v>1891</v>
      </c>
      <c r="B1873" t="s">
        <v>15</v>
      </c>
      <c r="C1873" t="str">
        <f t="shared" si="58"/>
        <v>B</v>
      </c>
      <c r="D1873" t="s">
        <v>13</v>
      </c>
      <c r="E1873" t="s">
        <v>10</v>
      </c>
      <c r="F1873" t="str">
        <f t="shared" si="59"/>
        <v>Mobile</v>
      </c>
      <c r="G1873">
        <v>11</v>
      </c>
      <c r="H1873">
        <v>0</v>
      </c>
      <c r="I1873">
        <v>0</v>
      </c>
    </row>
    <row r="1874" spans="1:9">
      <c r="A1874" t="s">
        <v>1892</v>
      </c>
      <c r="B1874" t="s">
        <v>15</v>
      </c>
      <c r="C1874" t="str">
        <f t="shared" si="58"/>
        <v>B</v>
      </c>
      <c r="D1874" t="s">
        <v>13</v>
      </c>
      <c r="E1874" t="s">
        <v>10</v>
      </c>
      <c r="F1874" t="str">
        <f t="shared" si="59"/>
        <v>Mobile</v>
      </c>
      <c r="G1874">
        <v>8</v>
      </c>
      <c r="H1874">
        <v>1</v>
      </c>
      <c r="I1874">
        <v>2477.2399999999998</v>
      </c>
    </row>
    <row r="1875" spans="1:9">
      <c r="A1875" t="s">
        <v>1893</v>
      </c>
      <c r="B1875" t="s">
        <v>8</v>
      </c>
      <c r="C1875" t="str">
        <f t="shared" si="58"/>
        <v>A</v>
      </c>
      <c r="D1875" t="s">
        <v>9</v>
      </c>
      <c r="E1875" t="s">
        <v>33</v>
      </c>
      <c r="F1875" t="str">
        <f t="shared" si="59"/>
        <v>Desktop</v>
      </c>
      <c r="G1875">
        <v>1</v>
      </c>
      <c r="H1875">
        <v>1</v>
      </c>
      <c r="I1875">
        <v>6868.62</v>
      </c>
    </row>
    <row r="1876" spans="1:9">
      <c r="A1876" t="s">
        <v>1894</v>
      </c>
      <c r="B1876" t="s">
        <v>15</v>
      </c>
      <c r="C1876" t="str">
        <f t="shared" si="58"/>
        <v>B</v>
      </c>
      <c r="D1876" t="s">
        <v>13</v>
      </c>
      <c r="E1876" t="s">
        <v>33</v>
      </c>
      <c r="F1876" t="str">
        <f t="shared" si="59"/>
        <v>Desktop</v>
      </c>
      <c r="G1876">
        <v>5</v>
      </c>
      <c r="H1876">
        <v>0</v>
      </c>
      <c r="I1876">
        <v>0</v>
      </c>
    </row>
    <row r="1877" spans="1:9">
      <c r="A1877" t="s">
        <v>1895</v>
      </c>
      <c r="B1877" t="s">
        <v>8</v>
      </c>
      <c r="C1877" t="str">
        <f t="shared" si="58"/>
        <v>A</v>
      </c>
      <c r="D1877" t="s">
        <v>18</v>
      </c>
      <c r="E1877" t="s">
        <v>10</v>
      </c>
      <c r="F1877" t="str">
        <f t="shared" si="59"/>
        <v>Mobile</v>
      </c>
      <c r="G1877">
        <v>7</v>
      </c>
      <c r="H1877">
        <v>0</v>
      </c>
      <c r="I1877">
        <v>0</v>
      </c>
    </row>
    <row r="1878" spans="1:9">
      <c r="A1878" t="s">
        <v>1896</v>
      </c>
      <c r="B1878" t="s">
        <v>8</v>
      </c>
      <c r="C1878" t="str">
        <f t="shared" si="58"/>
        <v>A</v>
      </c>
      <c r="D1878" t="s">
        <v>20</v>
      </c>
      <c r="E1878" t="s">
        <v>10</v>
      </c>
      <c r="F1878" t="str">
        <f t="shared" si="59"/>
        <v>Mobile</v>
      </c>
      <c r="G1878">
        <v>9</v>
      </c>
      <c r="H1878">
        <v>0</v>
      </c>
      <c r="I1878">
        <v>0</v>
      </c>
    </row>
    <row r="1879" spans="1:9">
      <c r="A1879" t="s">
        <v>1897</v>
      </c>
      <c r="B1879" t="s">
        <v>15</v>
      </c>
      <c r="C1879" t="str">
        <f t="shared" si="58"/>
        <v>B</v>
      </c>
      <c r="D1879" t="s">
        <v>20</v>
      </c>
      <c r="E1879" t="s">
        <v>10</v>
      </c>
      <c r="F1879" t="str">
        <f t="shared" si="59"/>
        <v>Mobile</v>
      </c>
      <c r="G1879">
        <v>9</v>
      </c>
      <c r="H1879">
        <v>1</v>
      </c>
      <c r="I1879">
        <v>1349.76</v>
      </c>
    </row>
    <row r="1880" spans="1:9">
      <c r="A1880" t="s">
        <v>1898</v>
      </c>
      <c r="B1880" t="s">
        <v>29</v>
      </c>
      <c r="C1880" t="str">
        <f t="shared" si="58"/>
        <v>B</v>
      </c>
      <c r="D1880" t="s">
        <v>20</v>
      </c>
      <c r="E1880" t="s">
        <v>10</v>
      </c>
      <c r="F1880" t="str">
        <f t="shared" si="59"/>
        <v>Mobile</v>
      </c>
      <c r="G1880">
        <v>4</v>
      </c>
      <c r="H1880">
        <v>0</v>
      </c>
      <c r="I1880">
        <v>0</v>
      </c>
    </row>
    <row r="1881" spans="1:9">
      <c r="A1881" t="s">
        <v>1899</v>
      </c>
      <c r="B1881" t="s">
        <v>8</v>
      </c>
      <c r="C1881" t="str">
        <f t="shared" si="58"/>
        <v>A</v>
      </c>
      <c r="D1881" t="s">
        <v>20</v>
      </c>
      <c r="E1881" t="s">
        <v>10</v>
      </c>
      <c r="F1881" t="str">
        <f t="shared" si="59"/>
        <v>Mobile</v>
      </c>
      <c r="G1881">
        <v>11</v>
      </c>
      <c r="H1881">
        <v>0</v>
      </c>
      <c r="I1881">
        <v>0</v>
      </c>
    </row>
    <row r="1882" spans="1:9">
      <c r="A1882" t="s">
        <v>1900</v>
      </c>
      <c r="B1882" t="s">
        <v>8</v>
      </c>
      <c r="C1882" t="str">
        <f t="shared" si="58"/>
        <v>A</v>
      </c>
      <c r="D1882" t="s">
        <v>13</v>
      </c>
      <c r="E1882" t="s">
        <v>33</v>
      </c>
      <c r="F1882" t="str">
        <f t="shared" si="59"/>
        <v>Desktop</v>
      </c>
      <c r="G1882">
        <v>7</v>
      </c>
      <c r="H1882">
        <v>0</v>
      </c>
      <c r="I1882">
        <v>0</v>
      </c>
    </row>
    <row r="1883" spans="1:9">
      <c r="A1883" t="s">
        <v>1901</v>
      </c>
      <c r="B1883" t="s">
        <v>15</v>
      </c>
      <c r="C1883" t="str">
        <f t="shared" si="58"/>
        <v>B</v>
      </c>
      <c r="D1883" t="s">
        <v>13</v>
      </c>
      <c r="E1883" t="s">
        <v>33</v>
      </c>
      <c r="F1883" t="str">
        <f t="shared" si="59"/>
        <v>Desktop</v>
      </c>
      <c r="G1883">
        <v>3</v>
      </c>
      <c r="H1883">
        <v>0</v>
      </c>
      <c r="I1883">
        <v>0</v>
      </c>
    </row>
    <row r="1884" spans="1:9">
      <c r="A1884" t="s">
        <v>1902</v>
      </c>
      <c r="B1884" t="s">
        <v>8</v>
      </c>
      <c r="C1884" t="str">
        <f t="shared" si="58"/>
        <v>A</v>
      </c>
      <c r="D1884" t="s">
        <v>20</v>
      </c>
      <c r="E1884" t="s">
        <v>10</v>
      </c>
      <c r="F1884" t="str">
        <f t="shared" si="59"/>
        <v>Mobile</v>
      </c>
      <c r="G1884">
        <v>8</v>
      </c>
      <c r="H1884">
        <v>0</v>
      </c>
      <c r="I1884">
        <v>0</v>
      </c>
    </row>
    <row r="1885" spans="1:9">
      <c r="A1885" t="s">
        <v>1903</v>
      </c>
      <c r="B1885" t="s">
        <v>15</v>
      </c>
      <c r="C1885" t="str">
        <f t="shared" si="58"/>
        <v>B</v>
      </c>
      <c r="D1885" t="s">
        <v>18</v>
      </c>
      <c r="E1885" t="s">
        <v>10</v>
      </c>
      <c r="F1885" t="str">
        <f t="shared" si="59"/>
        <v>Mobile</v>
      </c>
      <c r="G1885">
        <v>8</v>
      </c>
      <c r="H1885">
        <v>0</v>
      </c>
      <c r="I1885">
        <v>0</v>
      </c>
    </row>
    <row r="1886" spans="1:9">
      <c r="A1886" t="s">
        <v>1904</v>
      </c>
      <c r="B1886" t="s">
        <v>15</v>
      </c>
      <c r="C1886" t="str">
        <f t="shared" si="58"/>
        <v>B</v>
      </c>
      <c r="D1886" t="s">
        <v>9</v>
      </c>
      <c r="E1886" t="s">
        <v>16</v>
      </c>
      <c r="F1886" t="str">
        <f t="shared" si="59"/>
        <v>Mobile</v>
      </c>
      <c r="G1886">
        <v>4</v>
      </c>
      <c r="H1886">
        <v>0</v>
      </c>
      <c r="I1886">
        <v>0</v>
      </c>
    </row>
    <row r="1887" spans="1:9">
      <c r="A1887" t="s">
        <v>1905</v>
      </c>
      <c r="B1887" t="s">
        <v>15</v>
      </c>
      <c r="C1887" t="str">
        <f t="shared" si="58"/>
        <v>B</v>
      </c>
      <c r="D1887" t="s">
        <v>20</v>
      </c>
      <c r="E1887" t="s">
        <v>23</v>
      </c>
      <c r="F1887" t="str">
        <f t="shared" si="59"/>
        <v>Desktop</v>
      </c>
      <c r="G1887">
        <v>9</v>
      </c>
      <c r="H1887">
        <v>0</v>
      </c>
      <c r="I1887">
        <v>0</v>
      </c>
    </row>
    <row r="1888" spans="1:9">
      <c r="A1888" t="s">
        <v>1906</v>
      </c>
      <c r="B1888" t="s">
        <v>8</v>
      </c>
      <c r="C1888" t="str">
        <f t="shared" si="58"/>
        <v>A</v>
      </c>
      <c r="D1888" t="s">
        <v>20</v>
      </c>
      <c r="E1888" t="s">
        <v>10</v>
      </c>
      <c r="F1888" t="str">
        <f t="shared" si="59"/>
        <v>Mobile</v>
      </c>
      <c r="G1888">
        <v>6</v>
      </c>
      <c r="H1888">
        <v>0</v>
      </c>
      <c r="I1888">
        <v>0</v>
      </c>
    </row>
    <row r="1889" spans="1:9">
      <c r="A1889" t="s">
        <v>1907</v>
      </c>
      <c r="B1889" t="s">
        <v>8</v>
      </c>
      <c r="C1889" t="str">
        <f t="shared" si="58"/>
        <v>A</v>
      </c>
      <c r="D1889" t="s">
        <v>20</v>
      </c>
      <c r="E1889" t="s">
        <v>10</v>
      </c>
      <c r="F1889" t="str">
        <f t="shared" si="59"/>
        <v>Mobile</v>
      </c>
      <c r="G1889">
        <v>9</v>
      </c>
      <c r="H1889">
        <v>0</v>
      </c>
      <c r="I1889">
        <v>0</v>
      </c>
    </row>
    <row r="1890" spans="1:9">
      <c r="A1890" t="s">
        <v>1908</v>
      </c>
      <c r="B1890" t="s">
        <v>15</v>
      </c>
      <c r="C1890" t="str">
        <f t="shared" si="58"/>
        <v>B</v>
      </c>
      <c r="D1890" t="s">
        <v>20</v>
      </c>
      <c r="E1890" t="s">
        <v>10</v>
      </c>
      <c r="F1890" t="str">
        <f t="shared" si="59"/>
        <v>Mobile</v>
      </c>
      <c r="G1890">
        <v>1</v>
      </c>
      <c r="H1890">
        <v>0</v>
      </c>
      <c r="I1890">
        <v>0</v>
      </c>
    </row>
    <row r="1891" spans="1:9">
      <c r="A1891" t="s">
        <v>1909</v>
      </c>
      <c r="B1891" t="s">
        <v>15</v>
      </c>
      <c r="C1891" t="str">
        <f t="shared" si="58"/>
        <v>B</v>
      </c>
      <c r="D1891" t="s">
        <v>20</v>
      </c>
      <c r="E1891" t="s">
        <v>10</v>
      </c>
      <c r="F1891" t="str">
        <f t="shared" si="59"/>
        <v>Mobile</v>
      </c>
      <c r="G1891">
        <v>5</v>
      </c>
      <c r="H1891">
        <v>0</v>
      </c>
      <c r="I1891">
        <v>0</v>
      </c>
    </row>
    <row r="1892" spans="1:9">
      <c r="A1892" t="s">
        <v>1910</v>
      </c>
      <c r="B1892" t="s">
        <v>8</v>
      </c>
      <c r="C1892" t="str">
        <f t="shared" si="58"/>
        <v>A</v>
      </c>
      <c r="D1892" t="s">
        <v>13</v>
      </c>
      <c r="E1892" t="s">
        <v>10</v>
      </c>
      <c r="F1892" t="str">
        <f t="shared" si="59"/>
        <v>Mobile</v>
      </c>
      <c r="G1892">
        <v>3</v>
      </c>
      <c r="H1892">
        <v>0</v>
      </c>
      <c r="I1892">
        <v>0</v>
      </c>
    </row>
    <row r="1893" spans="1:9">
      <c r="A1893" t="s">
        <v>1911</v>
      </c>
      <c r="B1893" t="s">
        <v>15</v>
      </c>
      <c r="C1893" t="str">
        <f t="shared" si="58"/>
        <v>B</v>
      </c>
      <c r="D1893" t="s">
        <v>20</v>
      </c>
      <c r="E1893" t="s">
        <v>10</v>
      </c>
      <c r="F1893" t="str">
        <f t="shared" si="59"/>
        <v>Mobile</v>
      </c>
      <c r="G1893">
        <v>9</v>
      </c>
      <c r="H1893">
        <v>0</v>
      </c>
      <c r="I1893">
        <v>0</v>
      </c>
    </row>
    <row r="1894" spans="1:9">
      <c r="A1894" t="s">
        <v>1912</v>
      </c>
      <c r="B1894" t="s">
        <v>8</v>
      </c>
      <c r="C1894" t="str">
        <f t="shared" si="58"/>
        <v>A</v>
      </c>
      <c r="D1894" t="s">
        <v>20</v>
      </c>
      <c r="E1894" t="s">
        <v>23</v>
      </c>
      <c r="F1894" t="str">
        <f t="shared" si="59"/>
        <v>Desktop</v>
      </c>
      <c r="G1894">
        <v>12</v>
      </c>
      <c r="H1894">
        <v>0</v>
      </c>
      <c r="I1894">
        <v>0</v>
      </c>
    </row>
    <row r="1895" spans="1:9">
      <c r="A1895" t="s">
        <v>1913</v>
      </c>
      <c r="B1895" t="s">
        <v>15</v>
      </c>
      <c r="C1895" t="str">
        <f t="shared" si="58"/>
        <v>B</v>
      </c>
      <c r="D1895" t="s">
        <v>18</v>
      </c>
      <c r="E1895" t="s">
        <v>10</v>
      </c>
      <c r="F1895" t="str">
        <f t="shared" si="59"/>
        <v>Mobile</v>
      </c>
      <c r="G1895">
        <v>12</v>
      </c>
      <c r="H1895">
        <v>0</v>
      </c>
      <c r="I1895">
        <v>0</v>
      </c>
    </row>
    <row r="1896" spans="1:9">
      <c r="A1896" t="s">
        <v>1914</v>
      </c>
      <c r="B1896" t="s">
        <v>8</v>
      </c>
      <c r="C1896" t="str">
        <f t="shared" si="58"/>
        <v>A</v>
      </c>
      <c r="D1896" t="s">
        <v>13</v>
      </c>
      <c r="E1896" t="s">
        <v>10</v>
      </c>
      <c r="F1896" t="str">
        <f t="shared" si="59"/>
        <v>Mobile</v>
      </c>
      <c r="G1896">
        <v>5</v>
      </c>
      <c r="H1896">
        <v>0</v>
      </c>
      <c r="I1896">
        <v>0</v>
      </c>
    </row>
    <row r="1897" spans="1:9">
      <c r="A1897" t="s">
        <v>1915</v>
      </c>
      <c r="B1897" t="s">
        <v>12</v>
      </c>
      <c r="C1897" t="str">
        <f t="shared" si="58"/>
        <v>A</v>
      </c>
      <c r="D1897" t="s">
        <v>18</v>
      </c>
      <c r="E1897" t="s">
        <v>10</v>
      </c>
      <c r="F1897" t="str">
        <f t="shared" si="59"/>
        <v>Mobile</v>
      </c>
      <c r="G1897">
        <v>7</v>
      </c>
      <c r="H1897">
        <v>0</v>
      </c>
      <c r="I1897">
        <v>0</v>
      </c>
    </row>
    <row r="1898" spans="1:9">
      <c r="A1898" t="s">
        <v>1916</v>
      </c>
      <c r="B1898" t="s">
        <v>8</v>
      </c>
      <c r="C1898" t="str">
        <f t="shared" si="58"/>
        <v>A</v>
      </c>
      <c r="D1898" t="s">
        <v>20</v>
      </c>
      <c r="E1898" t="s">
        <v>23</v>
      </c>
      <c r="F1898" t="str">
        <f t="shared" si="59"/>
        <v>Desktop</v>
      </c>
      <c r="G1898">
        <v>4</v>
      </c>
      <c r="H1898">
        <v>0</v>
      </c>
      <c r="I1898">
        <v>0</v>
      </c>
    </row>
    <row r="1899" spans="1:9">
      <c r="A1899" t="s">
        <v>1917</v>
      </c>
      <c r="B1899" t="s">
        <v>8</v>
      </c>
      <c r="C1899" t="str">
        <f t="shared" si="58"/>
        <v>A</v>
      </c>
      <c r="D1899" t="s">
        <v>20</v>
      </c>
      <c r="E1899" t="s">
        <v>16</v>
      </c>
      <c r="F1899" t="str">
        <f t="shared" si="59"/>
        <v>Mobile</v>
      </c>
      <c r="G1899">
        <v>7</v>
      </c>
      <c r="H1899">
        <v>0</v>
      </c>
      <c r="I1899">
        <v>0</v>
      </c>
    </row>
    <row r="1900" spans="1:9">
      <c r="A1900" t="s">
        <v>1918</v>
      </c>
      <c r="B1900" t="s">
        <v>8</v>
      </c>
      <c r="C1900" t="str">
        <f t="shared" si="58"/>
        <v>A</v>
      </c>
      <c r="D1900" t="s">
        <v>13</v>
      </c>
      <c r="E1900" t="s">
        <v>10</v>
      </c>
      <c r="F1900" t="str">
        <f t="shared" si="59"/>
        <v>Mobile</v>
      </c>
      <c r="G1900">
        <v>5</v>
      </c>
      <c r="H1900">
        <v>1</v>
      </c>
      <c r="I1900">
        <v>2341.4699999999998</v>
      </c>
    </row>
    <row r="1901" spans="1:9">
      <c r="A1901" t="s">
        <v>1919</v>
      </c>
      <c r="B1901" t="s">
        <v>8</v>
      </c>
      <c r="C1901" t="str">
        <f t="shared" si="58"/>
        <v>A</v>
      </c>
      <c r="D1901" t="s">
        <v>20</v>
      </c>
      <c r="E1901" t="s">
        <v>10</v>
      </c>
      <c r="F1901" t="str">
        <f t="shared" si="59"/>
        <v>Mobile</v>
      </c>
      <c r="G1901">
        <v>3</v>
      </c>
      <c r="H1901">
        <v>0</v>
      </c>
      <c r="I1901">
        <v>0</v>
      </c>
    </row>
    <row r="1902" spans="1:9">
      <c r="A1902" t="s">
        <v>1920</v>
      </c>
      <c r="B1902" t="s">
        <v>15</v>
      </c>
      <c r="C1902" t="str">
        <f t="shared" si="58"/>
        <v>B</v>
      </c>
      <c r="D1902" t="s">
        <v>20</v>
      </c>
      <c r="E1902" t="s">
        <v>83</v>
      </c>
      <c r="F1902" t="str">
        <f t="shared" si="59"/>
        <v>Tablet</v>
      </c>
      <c r="G1902">
        <v>4</v>
      </c>
      <c r="H1902">
        <v>0</v>
      </c>
      <c r="I1902">
        <v>0</v>
      </c>
    </row>
    <row r="1903" spans="1:9">
      <c r="A1903" t="s">
        <v>1921</v>
      </c>
      <c r="B1903" t="s">
        <v>29</v>
      </c>
      <c r="C1903" t="str">
        <f t="shared" si="58"/>
        <v>B</v>
      </c>
      <c r="D1903" t="s">
        <v>13</v>
      </c>
      <c r="E1903" t="s">
        <v>10</v>
      </c>
      <c r="F1903" t="str">
        <f t="shared" si="59"/>
        <v>Mobile</v>
      </c>
      <c r="G1903">
        <v>6</v>
      </c>
      <c r="H1903">
        <v>0</v>
      </c>
      <c r="I1903">
        <v>0</v>
      </c>
    </row>
    <row r="1904" spans="1:9">
      <c r="A1904" t="s">
        <v>1922</v>
      </c>
      <c r="B1904" t="s">
        <v>8</v>
      </c>
      <c r="C1904" t="str">
        <f t="shared" si="58"/>
        <v>A</v>
      </c>
      <c r="D1904" t="s">
        <v>13</v>
      </c>
      <c r="E1904" t="s">
        <v>10</v>
      </c>
      <c r="F1904" t="str">
        <f t="shared" si="59"/>
        <v>Mobile</v>
      </c>
      <c r="G1904">
        <v>8</v>
      </c>
      <c r="H1904">
        <v>0</v>
      </c>
      <c r="I1904">
        <v>0</v>
      </c>
    </row>
    <row r="1905" spans="1:9">
      <c r="A1905" t="s">
        <v>1923</v>
      </c>
      <c r="B1905" t="s">
        <v>8</v>
      </c>
      <c r="C1905" t="str">
        <f t="shared" si="58"/>
        <v>A</v>
      </c>
      <c r="D1905" t="s">
        <v>20</v>
      </c>
      <c r="E1905" t="s">
        <v>10</v>
      </c>
      <c r="F1905" t="str">
        <f t="shared" si="59"/>
        <v>Mobile</v>
      </c>
      <c r="G1905">
        <v>2</v>
      </c>
      <c r="H1905">
        <v>0</v>
      </c>
      <c r="I1905">
        <v>0</v>
      </c>
    </row>
    <row r="1906" spans="1:9">
      <c r="A1906" t="s">
        <v>1924</v>
      </c>
      <c r="B1906" t="s">
        <v>15</v>
      </c>
      <c r="C1906" t="str">
        <f t="shared" si="58"/>
        <v>B</v>
      </c>
      <c r="D1906" t="s">
        <v>13</v>
      </c>
      <c r="E1906" t="s">
        <v>10</v>
      </c>
      <c r="F1906" t="str">
        <f t="shared" si="59"/>
        <v>Mobile</v>
      </c>
      <c r="G1906">
        <v>10</v>
      </c>
      <c r="H1906">
        <v>0</v>
      </c>
      <c r="I1906">
        <v>0</v>
      </c>
    </row>
    <row r="1907" spans="1:9">
      <c r="A1907" t="s">
        <v>1925</v>
      </c>
      <c r="B1907" t="s">
        <v>15</v>
      </c>
      <c r="C1907" t="str">
        <f t="shared" si="58"/>
        <v>B</v>
      </c>
      <c r="D1907" t="s">
        <v>20</v>
      </c>
      <c r="E1907" t="s">
        <v>10</v>
      </c>
      <c r="F1907" t="str">
        <f t="shared" si="59"/>
        <v>Mobile</v>
      </c>
      <c r="G1907">
        <v>4</v>
      </c>
      <c r="H1907">
        <v>0</v>
      </c>
      <c r="I1907">
        <v>0</v>
      </c>
    </row>
    <row r="1908" spans="1:9">
      <c r="A1908" t="s">
        <v>1926</v>
      </c>
      <c r="B1908" t="s">
        <v>15</v>
      </c>
      <c r="C1908" t="str">
        <f t="shared" si="58"/>
        <v>B</v>
      </c>
      <c r="D1908" t="s">
        <v>20</v>
      </c>
      <c r="E1908" t="s">
        <v>33</v>
      </c>
      <c r="F1908" t="str">
        <f t="shared" si="59"/>
        <v>Desktop</v>
      </c>
      <c r="G1908">
        <v>9</v>
      </c>
      <c r="H1908">
        <v>0</v>
      </c>
      <c r="I1908">
        <v>0</v>
      </c>
    </row>
    <row r="1909" spans="1:9">
      <c r="A1909" t="s">
        <v>1927</v>
      </c>
      <c r="B1909" t="s">
        <v>8</v>
      </c>
      <c r="C1909" t="str">
        <f t="shared" si="58"/>
        <v>A</v>
      </c>
      <c r="D1909" t="s">
        <v>20</v>
      </c>
      <c r="E1909" t="s">
        <v>23</v>
      </c>
      <c r="F1909" t="str">
        <f t="shared" si="59"/>
        <v>Desktop</v>
      </c>
      <c r="G1909">
        <v>7</v>
      </c>
      <c r="H1909">
        <v>0</v>
      </c>
      <c r="I1909">
        <v>0</v>
      </c>
    </row>
    <row r="1910" spans="1:9">
      <c r="A1910" t="s">
        <v>1928</v>
      </c>
      <c r="B1910" t="s">
        <v>8</v>
      </c>
      <c r="C1910" t="str">
        <f t="shared" si="58"/>
        <v>A</v>
      </c>
      <c r="D1910" t="s">
        <v>20</v>
      </c>
      <c r="E1910" t="s">
        <v>10</v>
      </c>
      <c r="F1910" t="str">
        <f t="shared" si="59"/>
        <v>Mobile</v>
      </c>
      <c r="G1910">
        <v>2</v>
      </c>
      <c r="H1910">
        <v>0</v>
      </c>
      <c r="I1910">
        <v>0</v>
      </c>
    </row>
    <row r="1911" spans="1:9">
      <c r="A1911" t="s">
        <v>1929</v>
      </c>
      <c r="B1911" t="s">
        <v>15</v>
      </c>
      <c r="C1911" t="str">
        <f t="shared" si="58"/>
        <v>B</v>
      </c>
      <c r="D1911" t="s">
        <v>20</v>
      </c>
      <c r="E1911" t="s">
        <v>33</v>
      </c>
      <c r="F1911" t="str">
        <f t="shared" si="59"/>
        <v>Desktop</v>
      </c>
      <c r="G1911">
        <v>2</v>
      </c>
      <c r="H1911">
        <v>0</v>
      </c>
      <c r="I1911">
        <v>0</v>
      </c>
    </row>
    <row r="1912" spans="1:9">
      <c r="A1912" t="s">
        <v>1930</v>
      </c>
      <c r="B1912" t="s">
        <v>8</v>
      </c>
      <c r="C1912" t="str">
        <f t="shared" si="58"/>
        <v>A</v>
      </c>
      <c r="D1912" t="s">
        <v>18</v>
      </c>
      <c r="E1912" t="s">
        <v>10</v>
      </c>
      <c r="F1912" t="str">
        <f t="shared" si="59"/>
        <v>Mobile</v>
      </c>
      <c r="G1912">
        <v>6</v>
      </c>
      <c r="H1912">
        <v>0</v>
      </c>
      <c r="I1912">
        <v>0</v>
      </c>
    </row>
    <row r="1913" spans="1:9">
      <c r="A1913" t="s">
        <v>1931</v>
      </c>
      <c r="B1913" t="s">
        <v>15</v>
      </c>
      <c r="C1913" t="str">
        <f t="shared" si="58"/>
        <v>B</v>
      </c>
      <c r="D1913" t="s">
        <v>13</v>
      </c>
      <c r="E1913" t="s">
        <v>10</v>
      </c>
      <c r="F1913" t="str">
        <f t="shared" si="59"/>
        <v>Mobile</v>
      </c>
      <c r="G1913">
        <v>8</v>
      </c>
      <c r="H1913">
        <v>0</v>
      </c>
      <c r="I1913">
        <v>0</v>
      </c>
    </row>
    <row r="1914" spans="1:9">
      <c r="A1914" t="s">
        <v>1932</v>
      </c>
      <c r="B1914" t="s">
        <v>8</v>
      </c>
      <c r="C1914" t="str">
        <f t="shared" si="58"/>
        <v>A</v>
      </c>
      <c r="D1914" t="s">
        <v>13</v>
      </c>
      <c r="E1914" t="s">
        <v>23</v>
      </c>
      <c r="F1914" t="str">
        <f t="shared" si="59"/>
        <v>Desktop</v>
      </c>
      <c r="G1914">
        <v>3</v>
      </c>
      <c r="H1914">
        <v>0</v>
      </c>
      <c r="I1914">
        <v>0</v>
      </c>
    </row>
    <row r="1915" spans="1:9">
      <c r="A1915" t="s">
        <v>1933</v>
      </c>
      <c r="B1915" t="s">
        <v>15</v>
      </c>
      <c r="C1915" t="str">
        <f t="shared" si="58"/>
        <v>B</v>
      </c>
      <c r="D1915" t="s">
        <v>20</v>
      </c>
      <c r="E1915" t="s">
        <v>23</v>
      </c>
      <c r="F1915" t="str">
        <f t="shared" si="59"/>
        <v>Desktop</v>
      </c>
      <c r="G1915">
        <v>5</v>
      </c>
      <c r="H1915">
        <v>0</v>
      </c>
      <c r="I1915">
        <v>0</v>
      </c>
    </row>
    <row r="1916" spans="1:9">
      <c r="A1916" t="s">
        <v>1934</v>
      </c>
      <c r="B1916" t="s">
        <v>8</v>
      </c>
      <c r="C1916" t="str">
        <f t="shared" si="58"/>
        <v>A</v>
      </c>
      <c r="D1916" t="s">
        <v>20</v>
      </c>
      <c r="E1916" t="s">
        <v>10</v>
      </c>
      <c r="F1916" t="str">
        <f t="shared" si="59"/>
        <v>Mobile</v>
      </c>
      <c r="G1916">
        <v>3</v>
      </c>
      <c r="H1916">
        <v>0</v>
      </c>
      <c r="I1916">
        <v>0</v>
      </c>
    </row>
    <row r="1917" spans="1:9">
      <c r="A1917" t="s">
        <v>1935</v>
      </c>
      <c r="B1917" t="s">
        <v>15</v>
      </c>
      <c r="C1917" t="str">
        <f t="shared" si="58"/>
        <v>B</v>
      </c>
      <c r="D1917" t="s">
        <v>20</v>
      </c>
      <c r="E1917" t="s">
        <v>10</v>
      </c>
      <c r="F1917" t="str">
        <f t="shared" si="59"/>
        <v>Mobile</v>
      </c>
      <c r="G1917">
        <v>5</v>
      </c>
      <c r="H1917">
        <v>0</v>
      </c>
      <c r="I1917">
        <v>0</v>
      </c>
    </row>
    <row r="1918" spans="1:9">
      <c r="A1918" t="s">
        <v>1936</v>
      </c>
      <c r="B1918" t="s">
        <v>15</v>
      </c>
      <c r="C1918" t="str">
        <f t="shared" si="58"/>
        <v>B</v>
      </c>
      <c r="D1918" t="s">
        <v>20</v>
      </c>
      <c r="E1918" t="s">
        <v>23</v>
      </c>
      <c r="F1918" t="str">
        <f t="shared" si="59"/>
        <v>Desktop</v>
      </c>
      <c r="G1918">
        <v>2</v>
      </c>
      <c r="H1918">
        <v>0</v>
      </c>
      <c r="I1918">
        <v>0</v>
      </c>
    </row>
    <row r="1919" spans="1:9">
      <c r="A1919" t="s">
        <v>1937</v>
      </c>
      <c r="B1919" t="s">
        <v>15</v>
      </c>
      <c r="C1919" t="str">
        <f t="shared" si="58"/>
        <v>B</v>
      </c>
      <c r="D1919" t="s">
        <v>20</v>
      </c>
      <c r="E1919" t="s">
        <v>23</v>
      </c>
      <c r="F1919" t="str">
        <f t="shared" si="59"/>
        <v>Desktop</v>
      </c>
      <c r="G1919">
        <v>6</v>
      </c>
      <c r="H1919">
        <v>0</v>
      </c>
      <c r="I1919">
        <v>0</v>
      </c>
    </row>
    <row r="1920" spans="1:9">
      <c r="A1920" t="s">
        <v>1938</v>
      </c>
      <c r="B1920" t="s">
        <v>8</v>
      </c>
      <c r="C1920" t="str">
        <f t="shared" si="58"/>
        <v>A</v>
      </c>
      <c r="D1920" t="s">
        <v>9</v>
      </c>
      <c r="E1920" t="s">
        <v>23</v>
      </c>
      <c r="F1920" t="str">
        <f t="shared" si="59"/>
        <v>Desktop</v>
      </c>
      <c r="G1920">
        <v>9</v>
      </c>
      <c r="H1920">
        <v>1</v>
      </c>
      <c r="I1920">
        <v>4497.12</v>
      </c>
    </row>
    <row r="1921" spans="1:9">
      <c r="A1921" t="s">
        <v>1939</v>
      </c>
      <c r="B1921" t="s">
        <v>15</v>
      </c>
      <c r="C1921" t="str">
        <f t="shared" si="58"/>
        <v>B</v>
      </c>
      <c r="D1921" t="s">
        <v>13</v>
      </c>
      <c r="E1921" t="s">
        <v>10</v>
      </c>
      <c r="F1921" t="str">
        <f t="shared" si="59"/>
        <v>Mobile</v>
      </c>
      <c r="G1921">
        <v>7</v>
      </c>
      <c r="H1921">
        <v>0</v>
      </c>
      <c r="I1921">
        <v>0</v>
      </c>
    </row>
    <row r="1922" spans="1:9">
      <c r="A1922" t="s">
        <v>1940</v>
      </c>
      <c r="B1922" t="s">
        <v>15</v>
      </c>
      <c r="C1922" t="str">
        <f t="shared" ref="C1922:C1985" si="60">IF(OR(B1922="control", B1922="A"), "A", "B")</f>
        <v>B</v>
      </c>
      <c r="D1922" t="s">
        <v>13</v>
      </c>
      <c r="E1922" t="s">
        <v>10</v>
      </c>
      <c r="F1922" t="str">
        <f t="shared" ref="F1922:F1985" si="61">PROPER(E1922)</f>
        <v>Mobile</v>
      </c>
      <c r="G1922">
        <v>5</v>
      </c>
      <c r="H1922">
        <v>1</v>
      </c>
      <c r="I1922">
        <v>2006.16</v>
      </c>
    </row>
    <row r="1923" spans="1:9">
      <c r="A1923" t="s">
        <v>1941</v>
      </c>
      <c r="B1923" t="s">
        <v>15</v>
      </c>
      <c r="C1923" t="str">
        <f t="shared" si="60"/>
        <v>B</v>
      </c>
      <c r="D1923" t="s">
        <v>13</v>
      </c>
      <c r="E1923" t="s">
        <v>10</v>
      </c>
      <c r="F1923" t="str">
        <f t="shared" si="61"/>
        <v>Mobile</v>
      </c>
      <c r="G1923">
        <v>10</v>
      </c>
      <c r="H1923">
        <v>0</v>
      </c>
      <c r="I1923">
        <v>0</v>
      </c>
    </row>
    <row r="1924" spans="1:9">
      <c r="A1924" t="s">
        <v>1942</v>
      </c>
      <c r="B1924" t="s">
        <v>15</v>
      </c>
      <c r="C1924" t="str">
        <f t="shared" si="60"/>
        <v>B</v>
      </c>
      <c r="D1924" t="s">
        <v>18</v>
      </c>
      <c r="E1924" t="s">
        <v>10</v>
      </c>
      <c r="F1924" t="str">
        <f t="shared" si="61"/>
        <v>Mobile</v>
      </c>
      <c r="G1924">
        <v>3</v>
      </c>
      <c r="H1924">
        <v>0</v>
      </c>
      <c r="I1924">
        <v>0</v>
      </c>
    </row>
    <row r="1925" spans="1:9">
      <c r="A1925" t="s">
        <v>1943</v>
      </c>
      <c r="B1925" t="s">
        <v>15</v>
      </c>
      <c r="C1925" t="str">
        <f t="shared" si="60"/>
        <v>B</v>
      </c>
      <c r="D1925" t="s">
        <v>20</v>
      </c>
      <c r="E1925" t="s">
        <v>33</v>
      </c>
      <c r="F1925" t="str">
        <f t="shared" si="61"/>
        <v>Desktop</v>
      </c>
      <c r="G1925">
        <v>4</v>
      </c>
      <c r="H1925">
        <v>1</v>
      </c>
      <c r="I1925">
        <v>1462.41</v>
      </c>
    </row>
    <row r="1926" spans="1:9">
      <c r="A1926" t="s">
        <v>1944</v>
      </c>
      <c r="B1926" t="s">
        <v>15</v>
      </c>
      <c r="C1926" t="str">
        <f t="shared" si="60"/>
        <v>B</v>
      </c>
      <c r="D1926" t="s">
        <v>20</v>
      </c>
      <c r="E1926" t="s">
        <v>10</v>
      </c>
      <c r="F1926" t="str">
        <f t="shared" si="61"/>
        <v>Mobile</v>
      </c>
      <c r="G1926">
        <v>7</v>
      </c>
      <c r="H1926">
        <v>0</v>
      </c>
      <c r="I1926">
        <v>0</v>
      </c>
    </row>
    <row r="1927" spans="1:9">
      <c r="A1927" t="s">
        <v>1945</v>
      </c>
      <c r="B1927" t="s">
        <v>8</v>
      </c>
      <c r="C1927" t="str">
        <f t="shared" si="60"/>
        <v>A</v>
      </c>
      <c r="D1927" t="s">
        <v>20</v>
      </c>
      <c r="E1927" t="s">
        <v>10</v>
      </c>
      <c r="F1927" t="str">
        <f t="shared" si="61"/>
        <v>Mobile</v>
      </c>
      <c r="G1927">
        <v>6</v>
      </c>
      <c r="H1927">
        <v>0</v>
      </c>
      <c r="I1927">
        <v>0</v>
      </c>
    </row>
    <row r="1928" spans="1:9">
      <c r="A1928" t="s">
        <v>1946</v>
      </c>
      <c r="B1928" t="s">
        <v>15</v>
      </c>
      <c r="C1928" t="str">
        <f t="shared" si="60"/>
        <v>B</v>
      </c>
      <c r="D1928" t="s">
        <v>9</v>
      </c>
      <c r="E1928" t="s">
        <v>23</v>
      </c>
      <c r="F1928" t="str">
        <f t="shared" si="61"/>
        <v>Desktop</v>
      </c>
      <c r="G1928">
        <v>4</v>
      </c>
      <c r="H1928">
        <v>1</v>
      </c>
      <c r="I1928">
        <v>2986.94</v>
      </c>
    </row>
    <row r="1929" spans="1:9">
      <c r="A1929" t="s">
        <v>1947</v>
      </c>
      <c r="B1929" t="s">
        <v>15</v>
      </c>
      <c r="C1929" t="str">
        <f t="shared" si="60"/>
        <v>B</v>
      </c>
      <c r="D1929" t="s">
        <v>18</v>
      </c>
      <c r="E1929" t="s">
        <v>10</v>
      </c>
      <c r="F1929" t="str">
        <f t="shared" si="61"/>
        <v>Mobile</v>
      </c>
      <c r="G1929">
        <v>2</v>
      </c>
      <c r="H1929">
        <v>0</v>
      </c>
      <c r="I1929">
        <v>0</v>
      </c>
    </row>
    <row r="1930" spans="1:9">
      <c r="A1930" t="s">
        <v>1948</v>
      </c>
      <c r="B1930" t="s">
        <v>8</v>
      </c>
      <c r="C1930" t="str">
        <f t="shared" si="60"/>
        <v>A</v>
      </c>
      <c r="D1930" t="s">
        <v>20</v>
      </c>
      <c r="E1930" t="s">
        <v>10</v>
      </c>
      <c r="F1930" t="str">
        <f t="shared" si="61"/>
        <v>Mobile</v>
      </c>
      <c r="G1930">
        <v>9</v>
      </c>
      <c r="H1930">
        <v>0</v>
      </c>
      <c r="I1930">
        <v>0</v>
      </c>
    </row>
    <row r="1931" spans="1:9">
      <c r="A1931" t="s">
        <v>1949</v>
      </c>
      <c r="B1931" t="s">
        <v>8</v>
      </c>
      <c r="C1931" t="str">
        <f t="shared" si="60"/>
        <v>A</v>
      </c>
      <c r="D1931" t="s">
        <v>9</v>
      </c>
      <c r="E1931" t="s">
        <v>23</v>
      </c>
      <c r="F1931" t="str">
        <f t="shared" si="61"/>
        <v>Desktop</v>
      </c>
      <c r="G1931">
        <v>1</v>
      </c>
      <c r="H1931">
        <v>0</v>
      </c>
      <c r="I1931">
        <v>0</v>
      </c>
    </row>
    <row r="1932" spans="1:9">
      <c r="A1932" t="s">
        <v>1950</v>
      </c>
      <c r="B1932" t="s">
        <v>8</v>
      </c>
      <c r="C1932" t="str">
        <f t="shared" si="60"/>
        <v>A</v>
      </c>
      <c r="D1932" t="s">
        <v>9</v>
      </c>
      <c r="E1932" t="s">
        <v>16</v>
      </c>
      <c r="F1932" t="str">
        <f t="shared" si="61"/>
        <v>Mobile</v>
      </c>
      <c r="G1932">
        <v>7</v>
      </c>
      <c r="H1932">
        <v>1</v>
      </c>
      <c r="I1932">
        <v>5132.88</v>
      </c>
    </row>
    <row r="1933" spans="1:9">
      <c r="A1933" t="s">
        <v>1951</v>
      </c>
      <c r="B1933" t="s">
        <v>15</v>
      </c>
      <c r="C1933" t="str">
        <f t="shared" si="60"/>
        <v>B</v>
      </c>
      <c r="D1933" t="s">
        <v>20</v>
      </c>
      <c r="E1933" t="s">
        <v>23</v>
      </c>
      <c r="F1933" t="str">
        <f t="shared" si="61"/>
        <v>Desktop</v>
      </c>
      <c r="G1933">
        <v>5</v>
      </c>
      <c r="H1933">
        <v>0</v>
      </c>
      <c r="I1933">
        <v>0</v>
      </c>
    </row>
    <row r="1934" spans="1:9">
      <c r="A1934" t="s">
        <v>1952</v>
      </c>
      <c r="B1934" t="s">
        <v>15</v>
      </c>
      <c r="C1934" t="str">
        <f t="shared" si="60"/>
        <v>B</v>
      </c>
      <c r="D1934" t="s">
        <v>20</v>
      </c>
      <c r="E1934" t="s">
        <v>10</v>
      </c>
      <c r="F1934" t="str">
        <f t="shared" si="61"/>
        <v>Mobile</v>
      </c>
      <c r="G1934">
        <v>9</v>
      </c>
      <c r="H1934">
        <v>1</v>
      </c>
      <c r="I1934">
        <v>1216.18</v>
      </c>
    </row>
    <row r="1935" spans="1:9">
      <c r="A1935" t="s">
        <v>1953</v>
      </c>
      <c r="B1935" t="s">
        <v>15</v>
      </c>
      <c r="C1935" t="str">
        <f t="shared" si="60"/>
        <v>B</v>
      </c>
      <c r="D1935" t="s">
        <v>20</v>
      </c>
      <c r="E1935" t="s">
        <v>23</v>
      </c>
      <c r="F1935" t="str">
        <f t="shared" si="61"/>
        <v>Desktop</v>
      </c>
      <c r="G1935">
        <v>5</v>
      </c>
      <c r="H1935">
        <v>0</v>
      </c>
      <c r="I1935">
        <v>0</v>
      </c>
    </row>
    <row r="1936" spans="1:9">
      <c r="A1936" t="s">
        <v>1954</v>
      </c>
      <c r="B1936" t="s">
        <v>15</v>
      </c>
      <c r="C1936" t="str">
        <f t="shared" si="60"/>
        <v>B</v>
      </c>
      <c r="D1936" t="s">
        <v>18</v>
      </c>
      <c r="E1936" t="s">
        <v>23</v>
      </c>
      <c r="F1936" t="str">
        <f t="shared" si="61"/>
        <v>Desktop</v>
      </c>
      <c r="G1936">
        <v>6</v>
      </c>
      <c r="H1936">
        <v>0</v>
      </c>
      <c r="I1936">
        <v>0</v>
      </c>
    </row>
    <row r="1937" spans="1:9">
      <c r="A1937" t="s">
        <v>1955</v>
      </c>
      <c r="B1937" t="s">
        <v>8</v>
      </c>
      <c r="C1937" t="str">
        <f t="shared" si="60"/>
        <v>A</v>
      </c>
      <c r="D1937" t="s">
        <v>20</v>
      </c>
      <c r="E1937" t="s">
        <v>10</v>
      </c>
      <c r="F1937" t="str">
        <f t="shared" si="61"/>
        <v>Mobile</v>
      </c>
      <c r="G1937">
        <v>4</v>
      </c>
      <c r="H1937">
        <v>0</v>
      </c>
      <c r="I1937">
        <v>0</v>
      </c>
    </row>
    <row r="1938" spans="1:9">
      <c r="A1938" t="s">
        <v>1956</v>
      </c>
      <c r="B1938" t="s">
        <v>8</v>
      </c>
      <c r="C1938" t="str">
        <f t="shared" si="60"/>
        <v>A</v>
      </c>
      <c r="D1938" t="s">
        <v>9</v>
      </c>
      <c r="E1938" t="s">
        <v>10</v>
      </c>
      <c r="F1938" t="str">
        <f t="shared" si="61"/>
        <v>Mobile</v>
      </c>
      <c r="G1938">
        <v>6</v>
      </c>
      <c r="H1938">
        <v>1</v>
      </c>
      <c r="I1938">
        <v>5747.09</v>
      </c>
    </row>
    <row r="1939" spans="1:9">
      <c r="A1939" t="s">
        <v>1957</v>
      </c>
      <c r="B1939" t="s">
        <v>8</v>
      </c>
      <c r="C1939" t="str">
        <f t="shared" si="60"/>
        <v>A</v>
      </c>
      <c r="D1939" t="s">
        <v>20</v>
      </c>
      <c r="E1939" t="s">
        <v>16</v>
      </c>
      <c r="F1939" t="str">
        <f t="shared" si="61"/>
        <v>Mobile</v>
      </c>
      <c r="G1939">
        <v>2</v>
      </c>
      <c r="H1939">
        <v>0</v>
      </c>
      <c r="I1939">
        <v>0</v>
      </c>
    </row>
    <row r="1940" spans="1:9">
      <c r="A1940" t="s">
        <v>1958</v>
      </c>
      <c r="B1940" t="s">
        <v>8</v>
      </c>
      <c r="C1940" t="str">
        <f t="shared" si="60"/>
        <v>A</v>
      </c>
      <c r="D1940" t="s">
        <v>13</v>
      </c>
      <c r="E1940" t="s">
        <v>10</v>
      </c>
      <c r="F1940" t="str">
        <f t="shared" si="61"/>
        <v>Mobile</v>
      </c>
      <c r="G1940">
        <v>4</v>
      </c>
      <c r="H1940">
        <v>1</v>
      </c>
      <c r="I1940">
        <v>1862.88</v>
      </c>
    </row>
    <row r="1941" spans="1:9">
      <c r="A1941" t="s">
        <v>1959</v>
      </c>
      <c r="B1941" t="s">
        <v>8</v>
      </c>
      <c r="C1941" t="str">
        <f t="shared" si="60"/>
        <v>A</v>
      </c>
      <c r="D1941" t="s">
        <v>13</v>
      </c>
      <c r="E1941" t="s">
        <v>23</v>
      </c>
      <c r="F1941" t="str">
        <f t="shared" si="61"/>
        <v>Desktop</v>
      </c>
      <c r="G1941">
        <v>8</v>
      </c>
      <c r="H1941">
        <v>0</v>
      </c>
      <c r="I1941">
        <v>0</v>
      </c>
    </row>
    <row r="1942" spans="1:9">
      <c r="A1942" t="s">
        <v>1960</v>
      </c>
      <c r="B1942" t="s">
        <v>8</v>
      </c>
      <c r="C1942" t="str">
        <f t="shared" si="60"/>
        <v>A</v>
      </c>
      <c r="D1942" t="s">
        <v>13</v>
      </c>
      <c r="E1942" t="s">
        <v>10</v>
      </c>
      <c r="F1942" t="str">
        <f t="shared" si="61"/>
        <v>Mobile</v>
      </c>
      <c r="G1942">
        <v>8</v>
      </c>
      <c r="H1942">
        <v>0</v>
      </c>
      <c r="I1942">
        <v>0</v>
      </c>
    </row>
    <row r="1943" spans="1:9">
      <c r="A1943" t="s">
        <v>1961</v>
      </c>
      <c r="B1943" t="s">
        <v>15</v>
      </c>
      <c r="C1943" t="str">
        <f t="shared" si="60"/>
        <v>B</v>
      </c>
      <c r="D1943" t="s">
        <v>9</v>
      </c>
      <c r="E1943" t="s">
        <v>10</v>
      </c>
      <c r="F1943" t="str">
        <f t="shared" si="61"/>
        <v>Mobile</v>
      </c>
      <c r="G1943">
        <v>6</v>
      </c>
      <c r="H1943">
        <v>0</v>
      </c>
      <c r="I1943">
        <v>0</v>
      </c>
    </row>
    <row r="1944" spans="1:9">
      <c r="A1944" t="s">
        <v>1962</v>
      </c>
      <c r="B1944" t="s">
        <v>15</v>
      </c>
      <c r="C1944" t="str">
        <f t="shared" si="60"/>
        <v>B</v>
      </c>
      <c r="D1944" t="s">
        <v>9</v>
      </c>
      <c r="E1944" t="s">
        <v>10</v>
      </c>
      <c r="F1944" t="str">
        <f t="shared" si="61"/>
        <v>Mobile</v>
      </c>
      <c r="G1944">
        <v>6</v>
      </c>
      <c r="H1944">
        <v>0</v>
      </c>
      <c r="I1944">
        <v>0</v>
      </c>
    </row>
    <row r="1945" spans="1:9">
      <c r="A1945" t="s">
        <v>1963</v>
      </c>
      <c r="B1945" t="s">
        <v>29</v>
      </c>
      <c r="C1945" t="str">
        <f t="shared" si="60"/>
        <v>B</v>
      </c>
      <c r="D1945" t="s">
        <v>9</v>
      </c>
      <c r="E1945" t="s">
        <v>23</v>
      </c>
      <c r="F1945" t="str">
        <f t="shared" si="61"/>
        <v>Desktop</v>
      </c>
      <c r="G1945">
        <v>6</v>
      </c>
      <c r="H1945">
        <v>0</v>
      </c>
      <c r="I1945">
        <v>0</v>
      </c>
    </row>
    <row r="1946" spans="1:9">
      <c r="A1946" t="s">
        <v>1964</v>
      </c>
      <c r="B1946" t="s">
        <v>12</v>
      </c>
      <c r="C1946" t="str">
        <f t="shared" si="60"/>
        <v>A</v>
      </c>
      <c r="D1946" t="s">
        <v>20</v>
      </c>
      <c r="E1946" t="s">
        <v>10</v>
      </c>
      <c r="F1946" t="str">
        <f t="shared" si="61"/>
        <v>Mobile</v>
      </c>
      <c r="G1946">
        <v>7</v>
      </c>
      <c r="H1946">
        <v>0</v>
      </c>
      <c r="I1946">
        <v>0</v>
      </c>
    </row>
    <row r="1947" spans="1:9">
      <c r="A1947" t="s">
        <v>1965</v>
      </c>
      <c r="B1947" t="s">
        <v>15</v>
      </c>
      <c r="C1947" t="str">
        <f t="shared" si="60"/>
        <v>B</v>
      </c>
      <c r="D1947" t="s">
        <v>13</v>
      </c>
      <c r="E1947" t="s">
        <v>23</v>
      </c>
      <c r="F1947" t="str">
        <f t="shared" si="61"/>
        <v>Desktop</v>
      </c>
      <c r="G1947">
        <v>9</v>
      </c>
      <c r="H1947">
        <v>1</v>
      </c>
      <c r="I1947">
        <v>2781.11</v>
      </c>
    </row>
    <row r="1948" spans="1:9">
      <c r="A1948" t="s">
        <v>1966</v>
      </c>
      <c r="B1948" t="s">
        <v>8</v>
      </c>
      <c r="C1948" t="str">
        <f t="shared" si="60"/>
        <v>A</v>
      </c>
      <c r="D1948" t="s">
        <v>20</v>
      </c>
      <c r="E1948" t="s">
        <v>23</v>
      </c>
      <c r="F1948" t="str">
        <f t="shared" si="61"/>
        <v>Desktop</v>
      </c>
      <c r="G1948">
        <v>5</v>
      </c>
      <c r="H1948">
        <v>0</v>
      </c>
      <c r="I1948">
        <v>0</v>
      </c>
    </row>
    <row r="1949" spans="1:9">
      <c r="A1949" t="s">
        <v>1967</v>
      </c>
      <c r="B1949" t="s">
        <v>15</v>
      </c>
      <c r="C1949" t="str">
        <f t="shared" si="60"/>
        <v>B</v>
      </c>
      <c r="D1949" t="s">
        <v>20</v>
      </c>
      <c r="E1949" t="s">
        <v>23</v>
      </c>
      <c r="F1949" t="str">
        <f t="shared" si="61"/>
        <v>Desktop</v>
      </c>
      <c r="G1949">
        <v>10</v>
      </c>
      <c r="H1949">
        <v>1</v>
      </c>
      <c r="I1949">
        <v>1307.03</v>
      </c>
    </row>
    <row r="1950" spans="1:9">
      <c r="A1950" t="s">
        <v>1968</v>
      </c>
      <c r="B1950" t="s">
        <v>15</v>
      </c>
      <c r="C1950" t="str">
        <f t="shared" si="60"/>
        <v>B</v>
      </c>
      <c r="D1950" t="s">
        <v>13</v>
      </c>
      <c r="E1950" t="s">
        <v>33</v>
      </c>
      <c r="F1950" t="str">
        <f t="shared" si="61"/>
        <v>Desktop</v>
      </c>
      <c r="G1950">
        <v>5</v>
      </c>
      <c r="H1950">
        <v>0</v>
      </c>
      <c r="I1950">
        <v>0</v>
      </c>
    </row>
    <row r="1951" spans="1:9">
      <c r="A1951" t="s">
        <v>1969</v>
      </c>
      <c r="B1951" t="s">
        <v>8</v>
      </c>
      <c r="C1951" t="str">
        <f t="shared" si="60"/>
        <v>A</v>
      </c>
      <c r="D1951" t="s">
        <v>20</v>
      </c>
      <c r="E1951" t="s">
        <v>23</v>
      </c>
      <c r="F1951" t="str">
        <f t="shared" si="61"/>
        <v>Desktop</v>
      </c>
      <c r="G1951">
        <v>4</v>
      </c>
      <c r="H1951">
        <v>0</v>
      </c>
      <c r="I1951">
        <v>0</v>
      </c>
    </row>
    <row r="1952" spans="1:9">
      <c r="A1952" t="s">
        <v>1970</v>
      </c>
      <c r="B1952" t="s">
        <v>8</v>
      </c>
      <c r="C1952" t="str">
        <f t="shared" si="60"/>
        <v>A</v>
      </c>
      <c r="D1952" t="s">
        <v>13</v>
      </c>
      <c r="E1952" t="s">
        <v>10</v>
      </c>
      <c r="F1952" t="str">
        <f t="shared" si="61"/>
        <v>Mobile</v>
      </c>
      <c r="G1952">
        <v>10</v>
      </c>
      <c r="H1952">
        <v>0</v>
      </c>
      <c r="I1952">
        <v>0</v>
      </c>
    </row>
    <row r="1953" spans="1:9">
      <c r="A1953" t="s">
        <v>1971</v>
      </c>
      <c r="B1953" t="s">
        <v>15</v>
      </c>
      <c r="C1953" t="str">
        <f t="shared" si="60"/>
        <v>B</v>
      </c>
      <c r="D1953" t="s">
        <v>18</v>
      </c>
      <c r="E1953" t="s">
        <v>33</v>
      </c>
      <c r="F1953" t="str">
        <f t="shared" si="61"/>
        <v>Desktop</v>
      </c>
      <c r="G1953">
        <v>4</v>
      </c>
      <c r="H1953">
        <v>0</v>
      </c>
      <c r="I1953">
        <v>0</v>
      </c>
    </row>
    <row r="1954" spans="1:9">
      <c r="A1954" t="s">
        <v>1972</v>
      </c>
      <c r="B1954" t="s">
        <v>8</v>
      </c>
      <c r="C1954" t="str">
        <f t="shared" si="60"/>
        <v>A</v>
      </c>
      <c r="D1954" t="s">
        <v>20</v>
      </c>
      <c r="E1954" t="s">
        <v>23</v>
      </c>
      <c r="F1954" t="str">
        <f t="shared" si="61"/>
        <v>Desktop</v>
      </c>
      <c r="G1954">
        <v>6</v>
      </c>
      <c r="H1954">
        <v>0</v>
      </c>
      <c r="I1954">
        <v>0</v>
      </c>
    </row>
    <row r="1955" spans="1:9">
      <c r="A1955" t="s">
        <v>1973</v>
      </c>
      <c r="B1955" t="s">
        <v>15</v>
      </c>
      <c r="C1955" t="str">
        <f t="shared" si="60"/>
        <v>B</v>
      </c>
      <c r="D1955" t="s">
        <v>13</v>
      </c>
      <c r="E1955" t="s">
        <v>10</v>
      </c>
      <c r="F1955" t="str">
        <f t="shared" si="61"/>
        <v>Mobile</v>
      </c>
      <c r="G1955">
        <v>7</v>
      </c>
      <c r="H1955">
        <v>0</v>
      </c>
      <c r="I1955">
        <v>0</v>
      </c>
    </row>
    <row r="1956" spans="1:9">
      <c r="A1956" t="s">
        <v>1974</v>
      </c>
      <c r="B1956" t="s">
        <v>15</v>
      </c>
      <c r="C1956" t="str">
        <f t="shared" si="60"/>
        <v>B</v>
      </c>
      <c r="D1956" t="s">
        <v>20</v>
      </c>
      <c r="E1956" t="s">
        <v>10</v>
      </c>
      <c r="F1956" t="str">
        <f t="shared" si="61"/>
        <v>Mobile</v>
      </c>
      <c r="G1956">
        <v>8</v>
      </c>
      <c r="H1956">
        <v>0</v>
      </c>
      <c r="I1956">
        <v>0</v>
      </c>
    </row>
    <row r="1957" spans="1:9">
      <c r="A1957" t="s">
        <v>1975</v>
      </c>
      <c r="B1957" t="s">
        <v>8</v>
      </c>
      <c r="C1957" t="str">
        <f t="shared" si="60"/>
        <v>A</v>
      </c>
      <c r="D1957" t="s">
        <v>20</v>
      </c>
      <c r="E1957" t="s">
        <v>16</v>
      </c>
      <c r="F1957" t="str">
        <f t="shared" si="61"/>
        <v>Mobile</v>
      </c>
      <c r="G1957">
        <v>4</v>
      </c>
      <c r="H1957">
        <v>0</v>
      </c>
      <c r="I1957">
        <v>0</v>
      </c>
    </row>
    <row r="1958" spans="1:9">
      <c r="A1958" t="s">
        <v>1976</v>
      </c>
      <c r="B1958" t="s">
        <v>8</v>
      </c>
      <c r="C1958" t="str">
        <f t="shared" si="60"/>
        <v>A</v>
      </c>
      <c r="D1958" t="s">
        <v>20</v>
      </c>
      <c r="E1958" t="s">
        <v>10</v>
      </c>
      <c r="F1958" t="str">
        <f t="shared" si="61"/>
        <v>Mobile</v>
      </c>
      <c r="G1958">
        <v>6</v>
      </c>
      <c r="H1958">
        <v>0</v>
      </c>
      <c r="I1958">
        <v>0</v>
      </c>
    </row>
    <row r="1959" spans="1:9">
      <c r="A1959" t="s">
        <v>1977</v>
      </c>
      <c r="B1959" t="s">
        <v>8</v>
      </c>
      <c r="C1959" t="str">
        <f t="shared" si="60"/>
        <v>A</v>
      </c>
      <c r="D1959" t="s">
        <v>18</v>
      </c>
      <c r="E1959" t="s">
        <v>23</v>
      </c>
      <c r="F1959" t="str">
        <f t="shared" si="61"/>
        <v>Desktop</v>
      </c>
      <c r="G1959">
        <v>2</v>
      </c>
      <c r="H1959">
        <v>0</v>
      </c>
      <c r="I1959">
        <v>0</v>
      </c>
    </row>
    <row r="1960" spans="1:9">
      <c r="A1960" t="s">
        <v>1978</v>
      </c>
      <c r="B1960" t="s">
        <v>8</v>
      </c>
      <c r="C1960" t="str">
        <f t="shared" si="60"/>
        <v>A</v>
      </c>
      <c r="D1960" t="s">
        <v>9</v>
      </c>
      <c r="E1960" t="s">
        <v>10</v>
      </c>
      <c r="F1960" t="str">
        <f t="shared" si="61"/>
        <v>Mobile</v>
      </c>
      <c r="G1960">
        <v>9</v>
      </c>
      <c r="H1960">
        <v>0</v>
      </c>
      <c r="I1960">
        <v>0</v>
      </c>
    </row>
    <row r="1961" spans="1:9">
      <c r="A1961" t="s">
        <v>1979</v>
      </c>
      <c r="B1961" t="s">
        <v>8</v>
      </c>
      <c r="C1961" t="str">
        <f t="shared" si="60"/>
        <v>A</v>
      </c>
      <c r="D1961" t="s">
        <v>9</v>
      </c>
      <c r="E1961" t="s">
        <v>10</v>
      </c>
      <c r="F1961" t="str">
        <f t="shared" si="61"/>
        <v>Mobile</v>
      </c>
      <c r="G1961">
        <v>6</v>
      </c>
      <c r="H1961">
        <v>0</v>
      </c>
      <c r="I1961">
        <v>0</v>
      </c>
    </row>
    <row r="1962" spans="1:9">
      <c r="A1962" t="s">
        <v>1980</v>
      </c>
      <c r="B1962" t="s">
        <v>15</v>
      </c>
      <c r="C1962" t="str">
        <f t="shared" si="60"/>
        <v>B</v>
      </c>
      <c r="D1962" t="s">
        <v>18</v>
      </c>
      <c r="E1962" t="s">
        <v>23</v>
      </c>
      <c r="F1962" t="str">
        <f t="shared" si="61"/>
        <v>Desktop</v>
      </c>
      <c r="G1962">
        <v>3</v>
      </c>
      <c r="H1962">
        <v>0</v>
      </c>
      <c r="I1962">
        <v>0</v>
      </c>
    </row>
    <row r="1963" spans="1:9">
      <c r="A1963" t="s">
        <v>1981</v>
      </c>
      <c r="B1963" t="s">
        <v>8</v>
      </c>
      <c r="C1963" t="str">
        <f t="shared" si="60"/>
        <v>A</v>
      </c>
      <c r="D1963" t="s">
        <v>20</v>
      </c>
      <c r="E1963" t="s">
        <v>10</v>
      </c>
      <c r="F1963" t="str">
        <f t="shared" si="61"/>
        <v>Mobile</v>
      </c>
      <c r="G1963">
        <v>7</v>
      </c>
      <c r="H1963">
        <v>0</v>
      </c>
      <c r="I1963">
        <v>0</v>
      </c>
    </row>
    <row r="1964" spans="1:9">
      <c r="A1964" t="s">
        <v>1982</v>
      </c>
      <c r="B1964" t="s">
        <v>15</v>
      </c>
      <c r="C1964" t="str">
        <f t="shared" si="60"/>
        <v>B</v>
      </c>
      <c r="D1964" t="s">
        <v>20</v>
      </c>
      <c r="E1964" t="s">
        <v>10</v>
      </c>
      <c r="F1964" t="str">
        <f t="shared" si="61"/>
        <v>Mobile</v>
      </c>
      <c r="G1964">
        <v>7</v>
      </c>
      <c r="H1964">
        <v>0</v>
      </c>
      <c r="I1964">
        <v>0</v>
      </c>
    </row>
    <row r="1965" spans="1:9">
      <c r="A1965" t="s">
        <v>1983</v>
      </c>
      <c r="B1965" t="s">
        <v>8</v>
      </c>
      <c r="C1965" t="str">
        <f t="shared" si="60"/>
        <v>A</v>
      </c>
      <c r="D1965" t="s">
        <v>13</v>
      </c>
      <c r="E1965" t="s">
        <v>23</v>
      </c>
      <c r="F1965" t="str">
        <f t="shared" si="61"/>
        <v>Desktop</v>
      </c>
      <c r="G1965">
        <v>6</v>
      </c>
      <c r="H1965">
        <v>0</v>
      </c>
      <c r="I1965">
        <v>0</v>
      </c>
    </row>
    <row r="1966" spans="1:9">
      <c r="A1966" t="s">
        <v>1984</v>
      </c>
      <c r="B1966" t="s">
        <v>12</v>
      </c>
      <c r="C1966" t="str">
        <f t="shared" si="60"/>
        <v>A</v>
      </c>
      <c r="D1966" t="s">
        <v>13</v>
      </c>
      <c r="E1966" t="s">
        <v>10</v>
      </c>
      <c r="F1966" t="str">
        <f t="shared" si="61"/>
        <v>Mobile</v>
      </c>
      <c r="G1966">
        <v>7</v>
      </c>
      <c r="H1966">
        <v>0</v>
      </c>
      <c r="I1966">
        <v>0</v>
      </c>
    </row>
    <row r="1967" spans="1:9">
      <c r="A1967" t="s">
        <v>1985</v>
      </c>
      <c r="B1967" t="s">
        <v>8</v>
      </c>
      <c r="C1967" t="str">
        <f t="shared" si="60"/>
        <v>A</v>
      </c>
      <c r="D1967" t="s">
        <v>20</v>
      </c>
      <c r="E1967" t="s">
        <v>23</v>
      </c>
      <c r="F1967" t="str">
        <f t="shared" si="61"/>
        <v>Desktop</v>
      </c>
      <c r="G1967">
        <v>5</v>
      </c>
      <c r="H1967">
        <v>0</v>
      </c>
      <c r="I1967">
        <v>0</v>
      </c>
    </row>
    <row r="1968" spans="1:9">
      <c r="A1968" t="s">
        <v>1986</v>
      </c>
      <c r="B1968" t="s">
        <v>8</v>
      </c>
      <c r="C1968" t="str">
        <f t="shared" si="60"/>
        <v>A</v>
      </c>
      <c r="D1968" t="s">
        <v>20</v>
      </c>
      <c r="E1968" t="s">
        <v>16</v>
      </c>
      <c r="F1968" t="str">
        <f t="shared" si="61"/>
        <v>Mobile</v>
      </c>
      <c r="G1968">
        <v>8</v>
      </c>
      <c r="H1968">
        <v>0</v>
      </c>
      <c r="I1968">
        <v>0</v>
      </c>
    </row>
    <row r="1969" spans="1:9">
      <c r="A1969" t="s">
        <v>1987</v>
      </c>
      <c r="B1969" t="s">
        <v>15</v>
      </c>
      <c r="C1969" t="str">
        <f t="shared" si="60"/>
        <v>B</v>
      </c>
      <c r="D1969" t="s">
        <v>13</v>
      </c>
      <c r="E1969" t="s">
        <v>23</v>
      </c>
      <c r="F1969" t="str">
        <f t="shared" si="61"/>
        <v>Desktop</v>
      </c>
      <c r="G1969">
        <v>4</v>
      </c>
      <c r="H1969">
        <v>0</v>
      </c>
      <c r="I1969">
        <v>0</v>
      </c>
    </row>
    <row r="1970" spans="1:9">
      <c r="A1970" t="s">
        <v>1988</v>
      </c>
      <c r="B1970" t="s">
        <v>15</v>
      </c>
      <c r="C1970" t="str">
        <f t="shared" si="60"/>
        <v>B</v>
      </c>
      <c r="D1970" t="s">
        <v>13</v>
      </c>
      <c r="E1970" t="s">
        <v>10</v>
      </c>
      <c r="F1970" t="str">
        <f t="shared" si="61"/>
        <v>Mobile</v>
      </c>
      <c r="G1970">
        <v>1</v>
      </c>
      <c r="H1970">
        <v>0</v>
      </c>
      <c r="I1970">
        <v>0</v>
      </c>
    </row>
    <row r="1971" spans="1:9">
      <c r="A1971" t="s">
        <v>1989</v>
      </c>
      <c r="B1971" t="s">
        <v>8</v>
      </c>
      <c r="C1971" t="str">
        <f t="shared" si="60"/>
        <v>A</v>
      </c>
      <c r="D1971" t="s">
        <v>20</v>
      </c>
      <c r="E1971" t="s">
        <v>10</v>
      </c>
      <c r="F1971" t="str">
        <f t="shared" si="61"/>
        <v>Mobile</v>
      </c>
      <c r="G1971">
        <v>6</v>
      </c>
      <c r="H1971">
        <v>0</v>
      </c>
      <c r="I1971">
        <v>0</v>
      </c>
    </row>
    <row r="1972" spans="1:9">
      <c r="A1972" t="s">
        <v>1990</v>
      </c>
      <c r="B1972" t="s">
        <v>15</v>
      </c>
      <c r="C1972" t="str">
        <f t="shared" si="60"/>
        <v>B</v>
      </c>
      <c r="D1972" t="s">
        <v>13</v>
      </c>
      <c r="E1972" t="s">
        <v>23</v>
      </c>
      <c r="F1972" t="str">
        <f t="shared" si="61"/>
        <v>Desktop</v>
      </c>
      <c r="G1972">
        <v>3</v>
      </c>
      <c r="H1972">
        <v>0</v>
      </c>
      <c r="I1972">
        <v>0</v>
      </c>
    </row>
    <row r="1973" spans="1:9">
      <c r="A1973" t="s">
        <v>1991</v>
      </c>
      <c r="B1973" t="s">
        <v>8</v>
      </c>
      <c r="C1973" t="str">
        <f t="shared" si="60"/>
        <v>A</v>
      </c>
      <c r="D1973" t="s">
        <v>13</v>
      </c>
      <c r="E1973" t="s">
        <v>33</v>
      </c>
      <c r="F1973" t="str">
        <f t="shared" si="61"/>
        <v>Desktop</v>
      </c>
      <c r="G1973">
        <v>6</v>
      </c>
      <c r="H1973">
        <v>0</v>
      </c>
      <c r="I1973">
        <v>0</v>
      </c>
    </row>
    <row r="1974" spans="1:9">
      <c r="A1974" t="s">
        <v>1992</v>
      </c>
      <c r="B1974" t="s">
        <v>15</v>
      </c>
      <c r="C1974" t="str">
        <f t="shared" si="60"/>
        <v>B</v>
      </c>
      <c r="D1974" t="s">
        <v>13</v>
      </c>
      <c r="E1974" t="s">
        <v>16</v>
      </c>
      <c r="F1974" t="str">
        <f t="shared" si="61"/>
        <v>Mobile</v>
      </c>
      <c r="G1974">
        <v>10</v>
      </c>
      <c r="H1974">
        <v>0</v>
      </c>
      <c r="I1974">
        <v>0</v>
      </c>
    </row>
    <row r="1975" spans="1:9">
      <c r="A1975" t="s">
        <v>1993</v>
      </c>
      <c r="B1975" t="s">
        <v>8</v>
      </c>
      <c r="C1975" t="str">
        <f t="shared" si="60"/>
        <v>A</v>
      </c>
      <c r="D1975" t="s">
        <v>20</v>
      </c>
      <c r="E1975" t="s">
        <v>16</v>
      </c>
      <c r="F1975" t="str">
        <f t="shared" si="61"/>
        <v>Mobile</v>
      </c>
      <c r="G1975">
        <v>2</v>
      </c>
      <c r="H1975">
        <v>0</v>
      </c>
      <c r="I1975">
        <v>0</v>
      </c>
    </row>
    <row r="1976" spans="1:9">
      <c r="A1976" t="s">
        <v>1994</v>
      </c>
      <c r="B1976" t="s">
        <v>8</v>
      </c>
      <c r="C1976" t="str">
        <f t="shared" si="60"/>
        <v>A</v>
      </c>
      <c r="D1976" t="s">
        <v>13</v>
      </c>
      <c r="E1976" t="s">
        <v>10</v>
      </c>
      <c r="F1976" t="str">
        <f t="shared" si="61"/>
        <v>Mobile</v>
      </c>
      <c r="G1976">
        <v>6</v>
      </c>
      <c r="H1976">
        <v>0</v>
      </c>
      <c r="I1976">
        <v>0</v>
      </c>
    </row>
    <row r="1977" spans="1:9">
      <c r="A1977" t="s">
        <v>1995</v>
      </c>
      <c r="B1977" t="s">
        <v>15</v>
      </c>
      <c r="C1977" t="str">
        <f t="shared" si="60"/>
        <v>B</v>
      </c>
      <c r="D1977" t="s">
        <v>20</v>
      </c>
      <c r="E1977" t="s">
        <v>10</v>
      </c>
      <c r="F1977" t="str">
        <f t="shared" si="61"/>
        <v>Mobile</v>
      </c>
      <c r="G1977">
        <v>6</v>
      </c>
      <c r="H1977">
        <v>0</v>
      </c>
      <c r="I1977">
        <v>0</v>
      </c>
    </row>
    <row r="1978" spans="1:9">
      <c r="A1978" t="s">
        <v>1996</v>
      </c>
      <c r="B1978" t="s">
        <v>15</v>
      </c>
      <c r="C1978" t="str">
        <f t="shared" si="60"/>
        <v>B</v>
      </c>
      <c r="D1978" t="s">
        <v>20</v>
      </c>
      <c r="E1978" t="s">
        <v>10</v>
      </c>
      <c r="F1978" t="str">
        <f t="shared" si="61"/>
        <v>Mobile</v>
      </c>
      <c r="G1978">
        <v>4</v>
      </c>
      <c r="H1978">
        <v>0</v>
      </c>
      <c r="I1978">
        <v>0</v>
      </c>
    </row>
    <row r="1979" spans="1:9">
      <c r="A1979" t="s">
        <v>1997</v>
      </c>
      <c r="B1979" t="s">
        <v>8</v>
      </c>
      <c r="C1979" t="str">
        <f t="shared" si="60"/>
        <v>A</v>
      </c>
      <c r="D1979" t="s">
        <v>9</v>
      </c>
      <c r="E1979" t="s">
        <v>10</v>
      </c>
      <c r="F1979" t="str">
        <f t="shared" si="61"/>
        <v>Mobile</v>
      </c>
      <c r="G1979">
        <v>5</v>
      </c>
      <c r="H1979">
        <v>0</v>
      </c>
      <c r="I1979">
        <v>0</v>
      </c>
    </row>
    <row r="1980" spans="1:9">
      <c r="A1980" t="s">
        <v>1998</v>
      </c>
      <c r="B1980" t="s">
        <v>15</v>
      </c>
      <c r="C1980" t="str">
        <f t="shared" si="60"/>
        <v>B</v>
      </c>
      <c r="D1980" t="s">
        <v>13</v>
      </c>
      <c r="E1980" t="s">
        <v>10</v>
      </c>
      <c r="F1980" t="str">
        <f t="shared" si="61"/>
        <v>Mobile</v>
      </c>
      <c r="G1980">
        <v>5</v>
      </c>
      <c r="H1980">
        <v>0</v>
      </c>
      <c r="I1980">
        <v>0</v>
      </c>
    </row>
    <row r="1981" spans="1:9">
      <c r="A1981" t="s">
        <v>1999</v>
      </c>
      <c r="B1981" t="s">
        <v>15</v>
      </c>
      <c r="C1981" t="str">
        <f t="shared" si="60"/>
        <v>B</v>
      </c>
      <c r="D1981" t="s">
        <v>20</v>
      </c>
      <c r="E1981" t="s">
        <v>33</v>
      </c>
      <c r="F1981" t="str">
        <f t="shared" si="61"/>
        <v>Desktop</v>
      </c>
      <c r="G1981">
        <v>7</v>
      </c>
      <c r="H1981">
        <v>0</v>
      </c>
      <c r="I1981">
        <v>0</v>
      </c>
    </row>
    <row r="1982" spans="1:9">
      <c r="A1982" t="s">
        <v>2000</v>
      </c>
      <c r="B1982" t="s">
        <v>8</v>
      </c>
      <c r="C1982" t="str">
        <f t="shared" si="60"/>
        <v>A</v>
      </c>
      <c r="D1982" t="s">
        <v>13</v>
      </c>
      <c r="E1982" t="s">
        <v>10</v>
      </c>
      <c r="F1982" t="str">
        <f t="shared" si="61"/>
        <v>Mobile</v>
      </c>
      <c r="G1982">
        <v>9</v>
      </c>
      <c r="H1982">
        <v>1</v>
      </c>
      <c r="I1982">
        <v>2157.0300000000002</v>
      </c>
    </row>
    <row r="1983" spans="1:9">
      <c r="A1983" t="s">
        <v>2001</v>
      </c>
      <c r="B1983" t="s">
        <v>15</v>
      </c>
      <c r="C1983" t="str">
        <f t="shared" si="60"/>
        <v>B</v>
      </c>
      <c r="D1983" t="s">
        <v>13</v>
      </c>
      <c r="E1983" t="s">
        <v>10</v>
      </c>
      <c r="F1983" t="str">
        <f t="shared" si="61"/>
        <v>Mobile</v>
      </c>
      <c r="G1983">
        <v>4</v>
      </c>
      <c r="H1983">
        <v>0</v>
      </c>
      <c r="I1983">
        <v>0</v>
      </c>
    </row>
    <row r="1984" spans="1:9">
      <c r="A1984" t="s">
        <v>2002</v>
      </c>
      <c r="B1984" t="s">
        <v>8</v>
      </c>
      <c r="C1984" t="str">
        <f t="shared" si="60"/>
        <v>A</v>
      </c>
      <c r="D1984" t="s">
        <v>9</v>
      </c>
      <c r="E1984" t="s">
        <v>10</v>
      </c>
      <c r="F1984" t="str">
        <f t="shared" si="61"/>
        <v>Mobile</v>
      </c>
      <c r="G1984">
        <v>5</v>
      </c>
      <c r="H1984">
        <v>0</v>
      </c>
      <c r="I1984">
        <v>0</v>
      </c>
    </row>
    <row r="1985" spans="1:9">
      <c r="A1985" t="s">
        <v>2003</v>
      </c>
      <c r="B1985" t="s">
        <v>15</v>
      </c>
      <c r="C1985" t="str">
        <f t="shared" si="60"/>
        <v>B</v>
      </c>
      <c r="D1985" t="s">
        <v>13</v>
      </c>
      <c r="E1985" t="s">
        <v>33</v>
      </c>
      <c r="F1985" t="str">
        <f t="shared" si="61"/>
        <v>Desktop</v>
      </c>
      <c r="G1985">
        <v>6</v>
      </c>
      <c r="H1985">
        <v>0</v>
      </c>
      <c r="I1985">
        <v>0</v>
      </c>
    </row>
    <row r="1986" spans="1:9">
      <c r="A1986" t="s">
        <v>2004</v>
      </c>
      <c r="B1986" t="s">
        <v>15</v>
      </c>
      <c r="C1986" t="str">
        <f t="shared" ref="C1986:C2049" si="62">IF(OR(B1986="control", B1986="A"), "A", "B")</f>
        <v>B</v>
      </c>
      <c r="D1986" t="s">
        <v>13</v>
      </c>
      <c r="E1986" t="s">
        <v>23</v>
      </c>
      <c r="F1986" t="str">
        <f t="shared" ref="F1986:F2049" si="63">PROPER(E1986)</f>
        <v>Desktop</v>
      </c>
      <c r="G1986">
        <v>2</v>
      </c>
      <c r="H1986">
        <v>0</v>
      </c>
      <c r="I1986">
        <v>0</v>
      </c>
    </row>
    <row r="1987" spans="1:9">
      <c r="A1987" t="s">
        <v>2005</v>
      </c>
      <c r="B1987" t="s">
        <v>12</v>
      </c>
      <c r="C1987" t="str">
        <f t="shared" si="62"/>
        <v>A</v>
      </c>
      <c r="D1987" t="s">
        <v>13</v>
      </c>
      <c r="E1987" t="s">
        <v>23</v>
      </c>
      <c r="F1987" t="str">
        <f t="shared" si="63"/>
        <v>Desktop</v>
      </c>
      <c r="G1987">
        <v>8</v>
      </c>
      <c r="H1987">
        <v>1</v>
      </c>
      <c r="I1987">
        <v>2412.27</v>
      </c>
    </row>
    <row r="1988" spans="1:9">
      <c r="A1988" t="s">
        <v>2006</v>
      </c>
      <c r="B1988" t="s">
        <v>8</v>
      </c>
      <c r="C1988" t="str">
        <f t="shared" si="62"/>
        <v>A</v>
      </c>
      <c r="D1988" t="s">
        <v>20</v>
      </c>
      <c r="E1988" t="s">
        <v>33</v>
      </c>
      <c r="F1988" t="str">
        <f t="shared" si="63"/>
        <v>Desktop</v>
      </c>
      <c r="G1988">
        <v>2</v>
      </c>
      <c r="H1988">
        <v>0</v>
      </c>
      <c r="I1988">
        <v>0</v>
      </c>
    </row>
    <row r="1989" spans="1:9">
      <c r="A1989" t="s">
        <v>2007</v>
      </c>
      <c r="B1989" t="s">
        <v>8</v>
      </c>
      <c r="C1989" t="str">
        <f t="shared" si="62"/>
        <v>A</v>
      </c>
      <c r="D1989" t="s">
        <v>20</v>
      </c>
      <c r="E1989" t="s">
        <v>10</v>
      </c>
      <c r="F1989" t="str">
        <f t="shared" si="63"/>
        <v>Mobile</v>
      </c>
      <c r="G1989">
        <v>5</v>
      </c>
      <c r="H1989">
        <v>0</v>
      </c>
      <c r="I1989">
        <v>0</v>
      </c>
    </row>
    <row r="1990" spans="1:9">
      <c r="A1990" t="s">
        <v>2008</v>
      </c>
      <c r="B1990" t="s">
        <v>8</v>
      </c>
      <c r="C1990" t="str">
        <f t="shared" si="62"/>
        <v>A</v>
      </c>
      <c r="D1990" t="s">
        <v>20</v>
      </c>
      <c r="E1990" t="s">
        <v>23</v>
      </c>
      <c r="F1990" t="str">
        <f t="shared" si="63"/>
        <v>Desktop</v>
      </c>
      <c r="G1990">
        <v>12</v>
      </c>
      <c r="H1990">
        <v>0</v>
      </c>
      <c r="I1990">
        <v>0</v>
      </c>
    </row>
    <row r="1991" spans="1:9">
      <c r="A1991" t="s">
        <v>2009</v>
      </c>
      <c r="B1991" t="s">
        <v>8</v>
      </c>
      <c r="C1991" t="str">
        <f t="shared" si="62"/>
        <v>A</v>
      </c>
      <c r="D1991" t="s">
        <v>13</v>
      </c>
      <c r="E1991" t="s">
        <v>10</v>
      </c>
      <c r="F1991" t="str">
        <f t="shared" si="63"/>
        <v>Mobile</v>
      </c>
      <c r="G1991">
        <v>7</v>
      </c>
      <c r="H1991">
        <v>1</v>
      </c>
      <c r="I1991">
        <v>2126.8200000000002</v>
      </c>
    </row>
    <row r="1992" spans="1:9">
      <c r="A1992" t="s">
        <v>2010</v>
      </c>
      <c r="B1992" t="s">
        <v>8</v>
      </c>
      <c r="C1992" t="str">
        <f t="shared" si="62"/>
        <v>A</v>
      </c>
      <c r="D1992" t="s">
        <v>13</v>
      </c>
      <c r="E1992" t="s">
        <v>10</v>
      </c>
      <c r="F1992" t="str">
        <f t="shared" si="63"/>
        <v>Mobile</v>
      </c>
      <c r="G1992">
        <v>5</v>
      </c>
      <c r="H1992">
        <v>1</v>
      </c>
      <c r="I1992">
        <v>2659.09</v>
      </c>
    </row>
    <row r="1993" spans="1:9">
      <c r="A1993" t="s">
        <v>2011</v>
      </c>
      <c r="B1993" t="s">
        <v>15</v>
      </c>
      <c r="C1993" t="str">
        <f t="shared" si="62"/>
        <v>B</v>
      </c>
      <c r="D1993" t="s">
        <v>20</v>
      </c>
      <c r="E1993" t="s">
        <v>16</v>
      </c>
      <c r="F1993" t="str">
        <f t="shared" si="63"/>
        <v>Mobile</v>
      </c>
      <c r="G1993">
        <v>6</v>
      </c>
      <c r="H1993">
        <v>0</v>
      </c>
      <c r="I1993">
        <v>0</v>
      </c>
    </row>
    <row r="1994" spans="1:9">
      <c r="A1994" t="s">
        <v>2012</v>
      </c>
      <c r="B1994" t="s">
        <v>8</v>
      </c>
      <c r="C1994" t="str">
        <f t="shared" si="62"/>
        <v>A</v>
      </c>
      <c r="D1994" t="s">
        <v>20</v>
      </c>
      <c r="E1994" t="s">
        <v>23</v>
      </c>
      <c r="F1994" t="str">
        <f t="shared" si="63"/>
        <v>Desktop</v>
      </c>
      <c r="G1994">
        <v>9</v>
      </c>
      <c r="H1994">
        <v>0</v>
      </c>
      <c r="I1994">
        <v>0</v>
      </c>
    </row>
    <row r="1995" spans="1:9">
      <c r="A1995" t="s">
        <v>2013</v>
      </c>
      <c r="B1995" t="s">
        <v>8</v>
      </c>
      <c r="C1995" t="str">
        <f t="shared" si="62"/>
        <v>A</v>
      </c>
      <c r="D1995" t="s">
        <v>13</v>
      </c>
      <c r="E1995" t="s">
        <v>10</v>
      </c>
      <c r="F1995" t="str">
        <f t="shared" si="63"/>
        <v>Mobile</v>
      </c>
      <c r="G1995">
        <v>1</v>
      </c>
      <c r="H1995">
        <v>0</v>
      </c>
      <c r="I1995">
        <v>0</v>
      </c>
    </row>
    <row r="1996" spans="1:9">
      <c r="A1996" t="s">
        <v>2014</v>
      </c>
      <c r="B1996" t="s">
        <v>15</v>
      </c>
      <c r="C1996" t="str">
        <f t="shared" si="62"/>
        <v>B</v>
      </c>
      <c r="D1996" t="s">
        <v>20</v>
      </c>
      <c r="E1996" t="s">
        <v>10</v>
      </c>
      <c r="F1996" t="str">
        <f t="shared" si="63"/>
        <v>Mobile</v>
      </c>
      <c r="G1996">
        <v>9</v>
      </c>
      <c r="H1996">
        <v>0</v>
      </c>
      <c r="I1996">
        <v>0</v>
      </c>
    </row>
    <row r="1997" spans="1:9">
      <c r="A1997" t="s">
        <v>2015</v>
      </c>
      <c r="B1997" t="s">
        <v>8</v>
      </c>
      <c r="C1997" t="str">
        <f t="shared" si="62"/>
        <v>A</v>
      </c>
      <c r="D1997" t="s">
        <v>13</v>
      </c>
      <c r="E1997" t="s">
        <v>23</v>
      </c>
      <c r="F1997" t="str">
        <f t="shared" si="63"/>
        <v>Desktop</v>
      </c>
      <c r="G1997">
        <v>7</v>
      </c>
      <c r="H1997">
        <v>1</v>
      </c>
      <c r="I1997">
        <v>2144.31</v>
      </c>
    </row>
    <row r="1998" spans="1:9">
      <c r="A1998" t="s">
        <v>2016</v>
      </c>
      <c r="B1998" t="s">
        <v>15</v>
      </c>
      <c r="C1998" t="str">
        <f t="shared" si="62"/>
        <v>B</v>
      </c>
      <c r="D1998" t="s">
        <v>20</v>
      </c>
      <c r="E1998" t="s">
        <v>10</v>
      </c>
      <c r="F1998" t="str">
        <f t="shared" si="63"/>
        <v>Mobile</v>
      </c>
      <c r="G1998">
        <v>4</v>
      </c>
      <c r="H1998">
        <v>0</v>
      </c>
      <c r="I1998">
        <v>0</v>
      </c>
    </row>
    <row r="1999" spans="1:9">
      <c r="A1999" t="s">
        <v>2017</v>
      </c>
      <c r="B1999" t="s">
        <v>8</v>
      </c>
      <c r="C1999" t="str">
        <f t="shared" si="62"/>
        <v>A</v>
      </c>
      <c r="D1999" t="s">
        <v>13</v>
      </c>
      <c r="E1999" t="s">
        <v>10</v>
      </c>
      <c r="F1999" t="str">
        <f t="shared" si="63"/>
        <v>Mobile</v>
      </c>
      <c r="G1999">
        <v>3</v>
      </c>
      <c r="H1999">
        <v>0</v>
      </c>
      <c r="I1999">
        <v>0</v>
      </c>
    </row>
    <row r="2000" spans="1:9">
      <c r="A2000" t="s">
        <v>2018</v>
      </c>
      <c r="B2000" t="s">
        <v>15</v>
      </c>
      <c r="C2000" t="str">
        <f t="shared" si="62"/>
        <v>B</v>
      </c>
      <c r="D2000" t="s">
        <v>18</v>
      </c>
      <c r="E2000" t="s">
        <v>10</v>
      </c>
      <c r="F2000" t="str">
        <f t="shared" si="63"/>
        <v>Mobile</v>
      </c>
      <c r="G2000">
        <v>9</v>
      </c>
      <c r="H2000">
        <v>0</v>
      </c>
      <c r="I2000">
        <v>0</v>
      </c>
    </row>
    <row r="2001" spans="1:9">
      <c r="A2001" t="s">
        <v>2019</v>
      </c>
      <c r="B2001" t="s">
        <v>8</v>
      </c>
      <c r="C2001" t="str">
        <f t="shared" si="62"/>
        <v>A</v>
      </c>
      <c r="D2001" t="s">
        <v>20</v>
      </c>
      <c r="E2001" t="s">
        <v>10</v>
      </c>
      <c r="F2001" t="str">
        <f t="shared" si="63"/>
        <v>Mobile</v>
      </c>
      <c r="G2001">
        <v>4</v>
      </c>
      <c r="H2001">
        <v>0</v>
      </c>
      <c r="I2001">
        <v>0</v>
      </c>
    </row>
    <row r="2002" spans="1:9">
      <c r="A2002" t="s">
        <v>2020</v>
      </c>
      <c r="B2002" t="s">
        <v>8</v>
      </c>
      <c r="C2002" t="str">
        <f t="shared" si="62"/>
        <v>A</v>
      </c>
      <c r="D2002" t="s">
        <v>13</v>
      </c>
      <c r="E2002" t="s">
        <v>23</v>
      </c>
      <c r="F2002" t="str">
        <f t="shared" si="63"/>
        <v>Desktop</v>
      </c>
      <c r="G2002">
        <v>4</v>
      </c>
      <c r="H2002">
        <v>0</v>
      </c>
      <c r="I2002">
        <v>0</v>
      </c>
    </row>
    <row r="2003" spans="1:9">
      <c r="A2003" t="s">
        <v>2021</v>
      </c>
      <c r="B2003" t="s">
        <v>15</v>
      </c>
      <c r="C2003" t="str">
        <f t="shared" si="62"/>
        <v>B</v>
      </c>
      <c r="D2003" t="s">
        <v>20</v>
      </c>
      <c r="E2003" t="s">
        <v>10</v>
      </c>
      <c r="F2003" t="str">
        <f t="shared" si="63"/>
        <v>Mobile</v>
      </c>
      <c r="G2003">
        <v>8</v>
      </c>
      <c r="H2003">
        <v>1</v>
      </c>
      <c r="I2003">
        <v>1122.8900000000001</v>
      </c>
    </row>
    <row r="2004" spans="1:9">
      <c r="A2004" t="s">
        <v>2022</v>
      </c>
      <c r="B2004" t="s">
        <v>8</v>
      </c>
      <c r="C2004" t="str">
        <f t="shared" si="62"/>
        <v>A</v>
      </c>
      <c r="D2004" t="s">
        <v>13</v>
      </c>
      <c r="E2004" t="s">
        <v>10</v>
      </c>
      <c r="F2004" t="str">
        <f t="shared" si="63"/>
        <v>Mobile</v>
      </c>
      <c r="G2004">
        <v>6</v>
      </c>
      <c r="H2004">
        <v>0</v>
      </c>
      <c r="I2004">
        <v>0</v>
      </c>
    </row>
    <row r="2005" spans="1:9">
      <c r="A2005" t="s">
        <v>2023</v>
      </c>
      <c r="B2005" t="s">
        <v>15</v>
      </c>
      <c r="C2005" t="str">
        <f t="shared" si="62"/>
        <v>B</v>
      </c>
      <c r="D2005" t="s">
        <v>13</v>
      </c>
      <c r="E2005" t="s">
        <v>10</v>
      </c>
      <c r="F2005" t="str">
        <f t="shared" si="63"/>
        <v>Mobile</v>
      </c>
      <c r="G2005">
        <v>12</v>
      </c>
      <c r="H2005">
        <v>0</v>
      </c>
      <c r="I2005">
        <v>0</v>
      </c>
    </row>
    <row r="2006" spans="1:9">
      <c r="A2006" t="s">
        <v>2024</v>
      </c>
      <c r="B2006" t="s">
        <v>8</v>
      </c>
      <c r="C2006" t="str">
        <f t="shared" si="62"/>
        <v>A</v>
      </c>
      <c r="D2006" t="s">
        <v>20</v>
      </c>
      <c r="E2006" t="s">
        <v>16</v>
      </c>
      <c r="F2006" t="str">
        <f t="shared" si="63"/>
        <v>Mobile</v>
      </c>
      <c r="G2006">
        <v>7</v>
      </c>
      <c r="H2006">
        <v>0</v>
      </c>
      <c r="I2006">
        <v>0</v>
      </c>
    </row>
    <row r="2007" spans="1:9">
      <c r="A2007" t="s">
        <v>2025</v>
      </c>
      <c r="B2007" t="s">
        <v>8</v>
      </c>
      <c r="C2007" t="str">
        <f t="shared" si="62"/>
        <v>A</v>
      </c>
      <c r="D2007" t="s">
        <v>13</v>
      </c>
      <c r="E2007" t="s">
        <v>10</v>
      </c>
      <c r="F2007" t="str">
        <f t="shared" si="63"/>
        <v>Mobile</v>
      </c>
      <c r="G2007">
        <v>7</v>
      </c>
      <c r="H2007">
        <v>0</v>
      </c>
      <c r="I2007">
        <v>0</v>
      </c>
    </row>
    <row r="2008" spans="1:9">
      <c r="A2008" t="s">
        <v>2026</v>
      </c>
      <c r="B2008" t="s">
        <v>15</v>
      </c>
      <c r="C2008" t="str">
        <f t="shared" si="62"/>
        <v>B</v>
      </c>
      <c r="D2008" t="s">
        <v>9</v>
      </c>
      <c r="E2008" t="s">
        <v>10</v>
      </c>
      <c r="F2008" t="str">
        <f t="shared" si="63"/>
        <v>Mobile</v>
      </c>
      <c r="G2008">
        <v>9</v>
      </c>
      <c r="H2008">
        <v>0</v>
      </c>
      <c r="I2008">
        <v>0</v>
      </c>
    </row>
    <row r="2009" spans="1:9">
      <c r="A2009" t="s">
        <v>2027</v>
      </c>
      <c r="B2009" t="s">
        <v>8</v>
      </c>
      <c r="C2009" t="str">
        <f t="shared" si="62"/>
        <v>A</v>
      </c>
      <c r="D2009" t="s">
        <v>20</v>
      </c>
      <c r="E2009" t="s">
        <v>10</v>
      </c>
      <c r="F2009" t="str">
        <f t="shared" si="63"/>
        <v>Mobile</v>
      </c>
      <c r="G2009">
        <v>3</v>
      </c>
      <c r="H2009">
        <v>1</v>
      </c>
      <c r="I2009">
        <v>1434.73</v>
      </c>
    </row>
    <row r="2010" spans="1:9">
      <c r="A2010" t="s">
        <v>2028</v>
      </c>
      <c r="B2010" t="s">
        <v>15</v>
      </c>
      <c r="C2010" t="str">
        <f t="shared" si="62"/>
        <v>B</v>
      </c>
      <c r="D2010" t="s">
        <v>20</v>
      </c>
      <c r="E2010" t="s">
        <v>23</v>
      </c>
      <c r="F2010" t="str">
        <f t="shared" si="63"/>
        <v>Desktop</v>
      </c>
      <c r="G2010">
        <v>5</v>
      </c>
      <c r="H2010">
        <v>0</v>
      </c>
      <c r="I2010">
        <v>0</v>
      </c>
    </row>
    <row r="2011" spans="1:9">
      <c r="A2011" t="s">
        <v>2029</v>
      </c>
      <c r="B2011" t="s">
        <v>29</v>
      </c>
      <c r="C2011" t="str">
        <f t="shared" si="62"/>
        <v>B</v>
      </c>
      <c r="D2011" t="s">
        <v>9</v>
      </c>
      <c r="E2011" t="s">
        <v>23</v>
      </c>
      <c r="F2011" t="str">
        <f t="shared" si="63"/>
        <v>Desktop</v>
      </c>
      <c r="G2011">
        <v>4</v>
      </c>
      <c r="H2011">
        <v>0</v>
      </c>
      <c r="I2011">
        <v>0</v>
      </c>
    </row>
    <row r="2012" spans="1:9">
      <c r="A2012" t="s">
        <v>2030</v>
      </c>
      <c r="B2012" t="s">
        <v>15</v>
      </c>
      <c r="C2012" t="str">
        <f t="shared" si="62"/>
        <v>B</v>
      </c>
      <c r="D2012" t="s">
        <v>13</v>
      </c>
      <c r="E2012" t="s">
        <v>23</v>
      </c>
      <c r="F2012" t="str">
        <f t="shared" si="63"/>
        <v>Desktop</v>
      </c>
      <c r="G2012">
        <v>3</v>
      </c>
      <c r="H2012">
        <v>0</v>
      </c>
      <c r="I2012">
        <v>0</v>
      </c>
    </row>
    <row r="2013" spans="1:9">
      <c r="A2013" t="s">
        <v>2031</v>
      </c>
      <c r="B2013" t="s">
        <v>12</v>
      </c>
      <c r="C2013" t="str">
        <f t="shared" si="62"/>
        <v>A</v>
      </c>
      <c r="D2013" t="s">
        <v>9</v>
      </c>
      <c r="E2013" t="s">
        <v>33</v>
      </c>
      <c r="F2013" t="str">
        <f t="shared" si="63"/>
        <v>Desktop</v>
      </c>
      <c r="G2013">
        <v>10</v>
      </c>
      <c r="H2013">
        <v>0</v>
      </c>
      <c r="I2013">
        <v>0</v>
      </c>
    </row>
    <row r="2014" spans="1:9">
      <c r="A2014" t="s">
        <v>2032</v>
      </c>
      <c r="B2014" t="s">
        <v>8</v>
      </c>
      <c r="C2014" t="str">
        <f t="shared" si="62"/>
        <v>A</v>
      </c>
      <c r="D2014" t="s">
        <v>13</v>
      </c>
      <c r="E2014" t="s">
        <v>23</v>
      </c>
      <c r="F2014" t="str">
        <f t="shared" si="63"/>
        <v>Desktop</v>
      </c>
      <c r="G2014">
        <v>4</v>
      </c>
      <c r="H2014">
        <v>0</v>
      </c>
      <c r="I2014">
        <v>0</v>
      </c>
    </row>
    <row r="2015" spans="1:9">
      <c r="A2015" t="s">
        <v>2033</v>
      </c>
      <c r="B2015" t="s">
        <v>8</v>
      </c>
      <c r="C2015" t="str">
        <f t="shared" si="62"/>
        <v>A</v>
      </c>
      <c r="D2015" t="s">
        <v>9</v>
      </c>
      <c r="E2015" t="s">
        <v>23</v>
      </c>
      <c r="F2015" t="str">
        <f t="shared" si="63"/>
        <v>Desktop</v>
      </c>
      <c r="G2015">
        <v>4</v>
      </c>
      <c r="H2015">
        <v>0</v>
      </c>
      <c r="I2015">
        <v>0</v>
      </c>
    </row>
    <row r="2016" spans="1:9">
      <c r="A2016" t="s">
        <v>2034</v>
      </c>
      <c r="B2016" t="s">
        <v>8</v>
      </c>
      <c r="C2016" t="str">
        <f t="shared" si="62"/>
        <v>A</v>
      </c>
      <c r="D2016" t="s">
        <v>13</v>
      </c>
      <c r="E2016" t="s">
        <v>10</v>
      </c>
      <c r="F2016" t="str">
        <f t="shared" si="63"/>
        <v>Mobile</v>
      </c>
      <c r="G2016">
        <v>11</v>
      </c>
      <c r="H2016">
        <v>0</v>
      </c>
      <c r="I2016">
        <v>0</v>
      </c>
    </row>
    <row r="2017" spans="1:9">
      <c r="A2017" t="s">
        <v>2035</v>
      </c>
      <c r="B2017" t="s">
        <v>15</v>
      </c>
      <c r="C2017" t="str">
        <f t="shared" si="62"/>
        <v>B</v>
      </c>
      <c r="D2017" t="s">
        <v>13</v>
      </c>
      <c r="E2017" t="s">
        <v>10</v>
      </c>
      <c r="F2017" t="str">
        <f t="shared" si="63"/>
        <v>Mobile</v>
      </c>
      <c r="G2017">
        <v>6</v>
      </c>
      <c r="H2017">
        <v>0</v>
      </c>
      <c r="I2017">
        <v>0</v>
      </c>
    </row>
    <row r="2018" spans="1:9">
      <c r="A2018" t="s">
        <v>2036</v>
      </c>
      <c r="B2018" t="s">
        <v>29</v>
      </c>
      <c r="C2018" t="str">
        <f t="shared" si="62"/>
        <v>B</v>
      </c>
      <c r="D2018" t="s">
        <v>9</v>
      </c>
      <c r="E2018" t="s">
        <v>83</v>
      </c>
      <c r="F2018" t="str">
        <f t="shared" si="63"/>
        <v>Tablet</v>
      </c>
      <c r="G2018">
        <v>6</v>
      </c>
      <c r="H2018">
        <v>0</v>
      </c>
      <c r="I2018">
        <v>0</v>
      </c>
    </row>
    <row r="2019" spans="1:9">
      <c r="A2019" t="s">
        <v>2037</v>
      </c>
      <c r="B2019" t="s">
        <v>8</v>
      </c>
      <c r="C2019" t="str">
        <f t="shared" si="62"/>
        <v>A</v>
      </c>
      <c r="D2019" t="s">
        <v>13</v>
      </c>
      <c r="E2019" t="s">
        <v>10</v>
      </c>
      <c r="F2019" t="str">
        <f t="shared" si="63"/>
        <v>Mobile</v>
      </c>
      <c r="G2019">
        <v>1</v>
      </c>
      <c r="H2019">
        <v>0</v>
      </c>
      <c r="I2019">
        <v>0</v>
      </c>
    </row>
    <row r="2020" spans="1:9">
      <c r="A2020" t="s">
        <v>2038</v>
      </c>
      <c r="B2020" t="s">
        <v>15</v>
      </c>
      <c r="C2020" t="str">
        <f t="shared" si="62"/>
        <v>B</v>
      </c>
      <c r="D2020" t="s">
        <v>20</v>
      </c>
      <c r="E2020" t="s">
        <v>10</v>
      </c>
      <c r="F2020" t="str">
        <f t="shared" si="63"/>
        <v>Mobile</v>
      </c>
      <c r="G2020">
        <v>2</v>
      </c>
      <c r="H2020">
        <v>0</v>
      </c>
      <c r="I2020">
        <v>0</v>
      </c>
    </row>
    <row r="2021" spans="1:9">
      <c r="A2021" t="s">
        <v>2039</v>
      </c>
      <c r="B2021" t="s">
        <v>8</v>
      </c>
      <c r="C2021" t="str">
        <f t="shared" si="62"/>
        <v>A</v>
      </c>
      <c r="D2021" t="s">
        <v>20</v>
      </c>
      <c r="E2021" t="s">
        <v>23</v>
      </c>
      <c r="F2021" t="str">
        <f t="shared" si="63"/>
        <v>Desktop</v>
      </c>
      <c r="G2021">
        <v>2</v>
      </c>
      <c r="H2021">
        <v>0</v>
      </c>
      <c r="I2021">
        <v>0</v>
      </c>
    </row>
    <row r="2022" spans="1:9">
      <c r="A2022" t="s">
        <v>2040</v>
      </c>
      <c r="B2022" t="s">
        <v>15</v>
      </c>
      <c r="C2022" t="str">
        <f t="shared" si="62"/>
        <v>B</v>
      </c>
      <c r="D2022" t="s">
        <v>20</v>
      </c>
      <c r="E2022" t="s">
        <v>10</v>
      </c>
      <c r="F2022" t="str">
        <f t="shared" si="63"/>
        <v>Mobile</v>
      </c>
      <c r="G2022">
        <v>6</v>
      </c>
      <c r="H2022">
        <v>0</v>
      </c>
      <c r="I2022">
        <v>0</v>
      </c>
    </row>
    <row r="2023" spans="1:9">
      <c r="A2023" t="s">
        <v>2041</v>
      </c>
      <c r="B2023" t="s">
        <v>15</v>
      </c>
      <c r="C2023" t="str">
        <f t="shared" si="62"/>
        <v>B</v>
      </c>
      <c r="D2023" t="s">
        <v>20</v>
      </c>
      <c r="E2023" t="s">
        <v>23</v>
      </c>
      <c r="F2023" t="str">
        <f t="shared" si="63"/>
        <v>Desktop</v>
      </c>
      <c r="G2023">
        <v>4</v>
      </c>
      <c r="H2023">
        <v>0</v>
      </c>
      <c r="I2023">
        <v>0</v>
      </c>
    </row>
    <row r="2024" spans="1:9">
      <c r="A2024" t="s">
        <v>2042</v>
      </c>
      <c r="B2024" t="s">
        <v>29</v>
      </c>
      <c r="C2024" t="str">
        <f t="shared" si="62"/>
        <v>B</v>
      </c>
      <c r="D2024" t="s">
        <v>20</v>
      </c>
      <c r="E2024" t="s">
        <v>23</v>
      </c>
      <c r="F2024" t="str">
        <f t="shared" si="63"/>
        <v>Desktop</v>
      </c>
      <c r="G2024">
        <v>6</v>
      </c>
      <c r="H2024">
        <v>0</v>
      </c>
      <c r="I2024">
        <v>0</v>
      </c>
    </row>
    <row r="2025" spans="1:9">
      <c r="A2025" t="s">
        <v>2043</v>
      </c>
      <c r="B2025" t="s">
        <v>15</v>
      </c>
      <c r="C2025" t="str">
        <f t="shared" si="62"/>
        <v>B</v>
      </c>
      <c r="D2025" t="s">
        <v>13</v>
      </c>
      <c r="E2025" t="s">
        <v>10</v>
      </c>
      <c r="F2025" t="str">
        <f t="shared" si="63"/>
        <v>Mobile</v>
      </c>
      <c r="G2025">
        <v>10</v>
      </c>
      <c r="H2025">
        <v>0</v>
      </c>
      <c r="I2025">
        <v>0</v>
      </c>
    </row>
    <row r="2026" spans="1:9">
      <c r="A2026" t="s">
        <v>2044</v>
      </c>
      <c r="B2026" t="s">
        <v>8</v>
      </c>
      <c r="C2026" t="str">
        <f t="shared" si="62"/>
        <v>A</v>
      </c>
      <c r="D2026" t="s">
        <v>13</v>
      </c>
      <c r="E2026" t="s">
        <v>16</v>
      </c>
      <c r="F2026" t="str">
        <f t="shared" si="63"/>
        <v>Mobile</v>
      </c>
      <c r="G2026">
        <v>6</v>
      </c>
      <c r="H2026">
        <v>0</v>
      </c>
      <c r="I2026">
        <v>0</v>
      </c>
    </row>
    <row r="2027" spans="1:9">
      <c r="A2027" t="s">
        <v>2045</v>
      </c>
      <c r="B2027" t="s">
        <v>8</v>
      </c>
      <c r="C2027" t="str">
        <f t="shared" si="62"/>
        <v>A</v>
      </c>
      <c r="D2027" t="s">
        <v>13</v>
      </c>
      <c r="E2027" t="s">
        <v>10</v>
      </c>
      <c r="F2027" t="str">
        <f t="shared" si="63"/>
        <v>Mobile</v>
      </c>
      <c r="G2027">
        <v>5</v>
      </c>
      <c r="H2027">
        <v>0</v>
      </c>
      <c r="I2027">
        <v>0</v>
      </c>
    </row>
    <row r="2028" spans="1:9">
      <c r="A2028" t="s">
        <v>2046</v>
      </c>
      <c r="B2028" t="s">
        <v>8</v>
      </c>
      <c r="C2028" t="str">
        <f t="shared" si="62"/>
        <v>A</v>
      </c>
      <c r="D2028" t="s">
        <v>13</v>
      </c>
      <c r="E2028" t="s">
        <v>10</v>
      </c>
      <c r="F2028" t="str">
        <f t="shared" si="63"/>
        <v>Mobile</v>
      </c>
      <c r="G2028">
        <v>9</v>
      </c>
      <c r="H2028">
        <v>0</v>
      </c>
      <c r="I2028">
        <v>0</v>
      </c>
    </row>
    <row r="2029" spans="1:9">
      <c r="A2029" t="s">
        <v>2047</v>
      </c>
      <c r="B2029" t="s">
        <v>8</v>
      </c>
      <c r="C2029" t="str">
        <f t="shared" si="62"/>
        <v>A</v>
      </c>
      <c r="D2029" t="s">
        <v>20</v>
      </c>
      <c r="E2029" t="s">
        <v>23</v>
      </c>
      <c r="F2029" t="str">
        <f t="shared" si="63"/>
        <v>Desktop</v>
      </c>
      <c r="G2029">
        <v>5</v>
      </c>
      <c r="H2029">
        <v>0</v>
      </c>
      <c r="I2029">
        <v>0</v>
      </c>
    </row>
    <row r="2030" spans="1:9">
      <c r="A2030" t="s">
        <v>2048</v>
      </c>
      <c r="B2030" t="s">
        <v>8</v>
      </c>
      <c r="C2030" t="str">
        <f t="shared" si="62"/>
        <v>A</v>
      </c>
      <c r="D2030" t="s">
        <v>20</v>
      </c>
      <c r="E2030" t="s">
        <v>23</v>
      </c>
      <c r="F2030" t="str">
        <f t="shared" si="63"/>
        <v>Desktop</v>
      </c>
      <c r="G2030">
        <v>4</v>
      </c>
      <c r="H2030">
        <v>0</v>
      </c>
      <c r="I2030">
        <v>0</v>
      </c>
    </row>
    <row r="2031" spans="1:9">
      <c r="A2031" t="s">
        <v>2049</v>
      </c>
      <c r="B2031" t="s">
        <v>15</v>
      </c>
      <c r="C2031" t="str">
        <f t="shared" si="62"/>
        <v>B</v>
      </c>
      <c r="D2031" t="s">
        <v>20</v>
      </c>
      <c r="E2031" t="s">
        <v>23</v>
      </c>
      <c r="F2031" t="str">
        <f t="shared" si="63"/>
        <v>Desktop</v>
      </c>
      <c r="G2031">
        <v>7</v>
      </c>
      <c r="H2031">
        <v>0</v>
      </c>
      <c r="I2031">
        <v>0</v>
      </c>
    </row>
    <row r="2032" spans="1:9">
      <c r="A2032" t="s">
        <v>2050</v>
      </c>
      <c r="B2032" t="s">
        <v>15</v>
      </c>
      <c r="C2032" t="str">
        <f t="shared" si="62"/>
        <v>B</v>
      </c>
      <c r="D2032" t="s">
        <v>13</v>
      </c>
      <c r="E2032" t="s">
        <v>10</v>
      </c>
      <c r="F2032" t="str">
        <f t="shared" si="63"/>
        <v>Mobile</v>
      </c>
      <c r="G2032">
        <v>8</v>
      </c>
      <c r="H2032">
        <v>0</v>
      </c>
      <c r="I2032">
        <v>0</v>
      </c>
    </row>
    <row r="2033" spans="1:9">
      <c r="A2033" t="s">
        <v>2051</v>
      </c>
      <c r="B2033" t="s">
        <v>15</v>
      </c>
      <c r="C2033" t="str">
        <f t="shared" si="62"/>
        <v>B</v>
      </c>
      <c r="D2033" t="s">
        <v>20</v>
      </c>
      <c r="E2033" t="s">
        <v>23</v>
      </c>
      <c r="F2033" t="str">
        <f t="shared" si="63"/>
        <v>Desktop</v>
      </c>
      <c r="G2033">
        <v>2</v>
      </c>
      <c r="H2033">
        <v>0</v>
      </c>
      <c r="I2033">
        <v>0</v>
      </c>
    </row>
    <row r="2034" spans="1:9">
      <c r="A2034" t="s">
        <v>2052</v>
      </c>
      <c r="B2034" t="s">
        <v>8</v>
      </c>
      <c r="C2034" t="str">
        <f t="shared" si="62"/>
        <v>A</v>
      </c>
      <c r="D2034" t="s">
        <v>20</v>
      </c>
      <c r="E2034" t="s">
        <v>10</v>
      </c>
      <c r="F2034" t="str">
        <f t="shared" si="63"/>
        <v>Mobile</v>
      </c>
      <c r="G2034">
        <v>3</v>
      </c>
      <c r="H2034">
        <v>0</v>
      </c>
      <c r="I2034">
        <v>0</v>
      </c>
    </row>
    <row r="2035" spans="1:9">
      <c r="A2035" t="s">
        <v>2053</v>
      </c>
      <c r="B2035" t="s">
        <v>15</v>
      </c>
      <c r="C2035" t="str">
        <f t="shared" si="62"/>
        <v>B</v>
      </c>
      <c r="D2035" t="s">
        <v>20</v>
      </c>
      <c r="E2035" t="s">
        <v>33</v>
      </c>
      <c r="F2035" t="str">
        <f t="shared" si="63"/>
        <v>Desktop</v>
      </c>
      <c r="G2035">
        <v>8</v>
      </c>
      <c r="H2035">
        <v>1</v>
      </c>
      <c r="I2035">
        <v>1134.9100000000001</v>
      </c>
    </row>
    <row r="2036" spans="1:9">
      <c r="A2036" t="s">
        <v>2054</v>
      </c>
      <c r="B2036" t="s">
        <v>15</v>
      </c>
      <c r="C2036" t="str">
        <f t="shared" si="62"/>
        <v>B</v>
      </c>
      <c r="D2036" t="s">
        <v>9</v>
      </c>
      <c r="E2036" t="s">
        <v>10</v>
      </c>
      <c r="F2036" t="str">
        <f t="shared" si="63"/>
        <v>Mobile</v>
      </c>
      <c r="G2036">
        <v>6</v>
      </c>
      <c r="H2036">
        <v>0</v>
      </c>
      <c r="I2036">
        <v>0</v>
      </c>
    </row>
    <row r="2037" spans="1:9">
      <c r="A2037" t="s">
        <v>2055</v>
      </c>
      <c r="B2037" t="s">
        <v>8</v>
      </c>
      <c r="C2037" t="str">
        <f t="shared" si="62"/>
        <v>A</v>
      </c>
      <c r="D2037" t="s">
        <v>20</v>
      </c>
      <c r="E2037" t="s">
        <v>23</v>
      </c>
      <c r="F2037" t="str">
        <f t="shared" si="63"/>
        <v>Desktop</v>
      </c>
      <c r="G2037">
        <v>5</v>
      </c>
      <c r="H2037">
        <v>0</v>
      </c>
      <c r="I2037">
        <v>0</v>
      </c>
    </row>
    <row r="2038" spans="1:9">
      <c r="A2038" t="s">
        <v>2056</v>
      </c>
      <c r="B2038" t="s">
        <v>15</v>
      </c>
      <c r="C2038" t="str">
        <f t="shared" si="62"/>
        <v>B</v>
      </c>
      <c r="D2038" t="s">
        <v>13</v>
      </c>
      <c r="E2038" t="s">
        <v>10</v>
      </c>
      <c r="F2038" t="str">
        <f t="shared" si="63"/>
        <v>Mobile</v>
      </c>
      <c r="G2038">
        <v>5</v>
      </c>
      <c r="H2038">
        <v>0</v>
      </c>
      <c r="I2038">
        <v>0</v>
      </c>
    </row>
    <row r="2039" spans="1:9">
      <c r="A2039" t="s">
        <v>2057</v>
      </c>
      <c r="B2039" t="s">
        <v>15</v>
      </c>
      <c r="C2039" t="str">
        <f t="shared" si="62"/>
        <v>B</v>
      </c>
      <c r="D2039" t="s">
        <v>13</v>
      </c>
      <c r="E2039" t="s">
        <v>10</v>
      </c>
      <c r="F2039" t="str">
        <f t="shared" si="63"/>
        <v>Mobile</v>
      </c>
      <c r="G2039">
        <v>2</v>
      </c>
      <c r="H2039">
        <v>0</v>
      </c>
      <c r="I2039">
        <v>0</v>
      </c>
    </row>
    <row r="2040" spans="1:9">
      <c r="A2040" t="s">
        <v>2058</v>
      </c>
      <c r="B2040" t="s">
        <v>8</v>
      </c>
      <c r="C2040" t="str">
        <f t="shared" si="62"/>
        <v>A</v>
      </c>
      <c r="D2040" t="s">
        <v>9</v>
      </c>
      <c r="E2040" t="s">
        <v>10</v>
      </c>
      <c r="F2040" t="str">
        <f t="shared" si="63"/>
        <v>Mobile</v>
      </c>
      <c r="G2040">
        <v>7</v>
      </c>
      <c r="H2040">
        <v>0</v>
      </c>
      <c r="I2040">
        <v>0</v>
      </c>
    </row>
    <row r="2041" spans="1:9">
      <c r="A2041" t="s">
        <v>2059</v>
      </c>
      <c r="B2041" t="s">
        <v>8</v>
      </c>
      <c r="C2041" t="str">
        <f t="shared" si="62"/>
        <v>A</v>
      </c>
      <c r="D2041" t="s">
        <v>18</v>
      </c>
      <c r="E2041" t="s">
        <v>16</v>
      </c>
      <c r="F2041" t="str">
        <f t="shared" si="63"/>
        <v>Mobile</v>
      </c>
      <c r="G2041">
        <v>4</v>
      </c>
      <c r="H2041">
        <v>0</v>
      </c>
      <c r="I2041">
        <v>0</v>
      </c>
    </row>
    <row r="2042" spans="1:9">
      <c r="A2042" t="s">
        <v>2060</v>
      </c>
      <c r="B2042" t="s">
        <v>15</v>
      </c>
      <c r="C2042" t="str">
        <f t="shared" si="62"/>
        <v>B</v>
      </c>
      <c r="D2042" t="s">
        <v>20</v>
      </c>
      <c r="E2042" t="s">
        <v>23</v>
      </c>
      <c r="F2042" t="str">
        <f t="shared" si="63"/>
        <v>Desktop</v>
      </c>
      <c r="G2042">
        <v>12</v>
      </c>
      <c r="H2042">
        <v>1</v>
      </c>
      <c r="I2042">
        <v>972.49</v>
      </c>
    </row>
    <row r="2043" spans="1:9">
      <c r="A2043" t="s">
        <v>2061</v>
      </c>
      <c r="B2043" t="s">
        <v>8</v>
      </c>
      <c r="C2043" t="str">
        <f t="shared" si="62"/>
        <v>A</v>
      </c>
      <c r="D2043" t="s">
        <v>20</v>
      </c>
      <c r="E2043" t="s">
        <v>33</v>
      </c>
      <c r="F2043" t="str">
        <f t="shared" si="63"/>
        <v>Desktop</v>
      </c>
      <c r="G2043">
        <v>7</v>
      </c>
      <c r="H2043">
        <v>0</v>
      </c>
      <c r="I2043">
        <v>0</v>
      </c>
    </row>
    <row r="2044" spans="1:9">
      <c r="A2044" t="s">
        <v>2062</v>
      </c>
      <c r="B2044" t="s">
        <v>12</v>
      </c>
      <c r="C2044" t="str">
        <f t="shared" si="62"/>
        <v>A</v>
      </c>
      <c r="D2044" t="s">
        <v>9</v>
      </c>
      <c r="E2044" t="s">
        <v>10</v>
      </c>
      <c r="F2044" t="str">
        <f t="shared" si="63"/>
        <v>Mobile</v>
      </c>
      <c r="G2044">
        <v>10</v>
      </c>
      <c r="H2044">
        <v>0</v>
      </c>
      <c r="I2044">
        <v>0</v>
      </c>
    </row>
    <row r="2045" spans="1:9">
      <c r="A2045" t="s">
        <v>2063</v>
      </c>
      <c r="B2045" t="s">
        <v>15</v>
      </c>
      <c r="C2045" t="str">
        <f t="shared" si="62"/>
        <v>B</v>
      </c>
      <c r="D2045" t="s">
        <v>13</v>
      </c>
      <c r="E2045" t="s">
        <v>10</v>
      </c>
      <c r="F2045" t="str">
        <f t="shared" si="63"/>
        <v>Mobile</v>
      </c>
      <c r="G2045">
        <v>6</v>
      </c>
      <c r="H2045">
        <v>0</v>
      </c>
      <c r="I2045">
        <v>0</v>
      </c>
    </row>
    <row r="2046" spans="1:9">
      <c r="A2046" t="s">
        <v>2064</v>
      </c>
      <c r="B2046" t="s">
        <v>15</v>
      </c>
      <c r="C2046" t="str">
        <f t="shared" si="62"/>
        <v>B</v>
      </c>
      <c r="D2046" t="s">
        <v>13</v>
      </c>
      <c r="E2046" t="s">
        <v>10</v>
      </c>
      <c r="F2046" t="str">
        <f t="shared" si="63"/>
        <v>Mobile</v>
      </c>
      <c r="G2046">
        <v>9</v>
      </c>
      <c r="H2046">
        <v>0</v>
      </c>
      <c r="I2046">
        <v>0</v>
      </c>
    </row>
    <row r="2047" spans="1:9">
      <c r="A2047" t="s">
        <v>2065</v>
      </c>
      <c r="B2047" t="s">
        <v>15</v>
      </c>
      <c r="C2047" t="str">
        <f t="shared" si="62"/>
        <v>B</v>
      </c>
      <c r="D2047" t="s">
        <v>13</v>
      </c>
      <c r="E2047" t="s">
        <v>23</v>
      </c>
      <c r="F2047" t="str">
        <f t="shared" si="63"/>
        <v>Desktop</v>
      </c>
      <c r="G2047">
        <v>6</v>
      </c>
      <c r="H2047">
        <v>0</v>
      </c>
      <c r="I2047">
        <v>0</v>
      </c>
    </row>
    <row r="2048" spans="1:9">
      <c r="A2048" t="s">
        <v>2066</v>
      </c>
      <c r="B2048" t="s">
        <v>8</v>
      </c>
      <c r="C2048" t="str">
        <f t="shared" si="62"/>
        <v>A</v>
      </c>
      <c r="D2048" t="s">
        <v>13</v>
      </c>
      <c r="E2048" t="s">
        <v>10</v>
      </c>
      <c r="F2048" t="str">
        <f t="shared" si="63"/>
        <v>Mobile</v>
      </c>
      <c r="G2048">
        <v>11</v>
      </c>
      <c r="H2048">
        <v>0</v>
      </c>
      <c r="I2048">
        <v>0</v>
      </c>
    </row>
    <row r="2049" spans="1:9">
      <c r="A2049" t="s">
        <v>2067</v>
      </c>
      <c r="B2049" t="s">
        <v>15</v>
      </c>
      <c r="C2049" t="str">
        <f t="shared" si="62"/>
        <v>B</v>
      </c>
      <c r="D2049" t="s">
        <v>18</v>
      </c>
      <c r="E2049" t="s">
        <v>16</v>
      </c>
      <c r="F2049" t="str">
        <f t="shared" si="63"/>
        <v>Mobile</v>
      </c>
      <c r="G2049">
        <v>9</v>
      </c>
      <c r="H2049">
        <v>0</v>
      </c>
      <c r="I2049">
        <v>0</v>
      </c>
    </row>
    <row r="2050" spans="1:9">
      <c r="A2050" t="s">
        <v>2068</v>
      </c>
      <c r="B2050" t="s">
        <v>15</v>
      </c>
      <c r="C2050" t="str">
        <f t="shared" ref="C2050:C2113" si="64">IF(OR(B2050="control", B2050="A"), "A", "B")</f>
        <v>B</v>
      </c>
      <c r="D2050" t="s">
        <v>18</v>
      </c>
      <c r="E2050" t="s">
        <v>33</v>
      </c>
      <c r="F2050" t="str">
        <f t="shared" ref="F2050:F2113" si="65">PROPER(E2050)</f>
        <v>Desktop</v>
      </c>
      <c r="G2050">
        <v>6</v>
      </c>
      <c r="H2050">
        <v>0</v>
      </c>
      <c r="I2050">
        <v>0</v>
      </c>
    </row>
    <row r="2051" spans="1:9">
      <c r="A2051" t="s">
        <v>2069</v>
      </c>
      <c r="B2051" t="s">
        <v>8</v>
      </c>
      <c r="C2051" t="str">
        <f t="shared" si="64"/>
        <v>A</v>
      </c>
      <c r="D2051" t="s">
        <v>13</v>
      </c>
      <c r="E2051" t="s">
        <v>33</v>
      </c>
      <c r="F2051" t="str">
        <f t="shared" si="65"/>
        <v>Desktop</v>
      </c>
      <c r="G2051">
        <v>10</v>
      </c>
      <c r="H2051">
        <v>0</v>
      </c>
      <c r="I2051">
        <v>0</v>
      </c>
    </row>
    <row r="2052" spans="1:9">
      <c r="A2052" t="s">
        <v>2070</v>
      </c>
      <c r="B2052" t="s">
        <v>15</v>
      </c>
      <c r="C2052" t="str">
        <f t="shared" si="64"/>
        <v>B</v>
      </c>
      <c r="D2052" t="s">
        <v>20</v>
      </c>
      <c r="E2052" t="s">
        <v>23</v>
      </c>
      <c r="F2052" t="str">
        <f t="shared" si="65"/>
        <v>Desktop</v>
      </c>
      <c r="G2052">
        <v>5</v>
      </c>
      <c r="H2052">
        <v>0</v>
      </c>
      <c r="I2052">
        <v>0</v>
      </c>
    </row>
    <row r="2053" spans="1:9">
      <c r="A2053" t="s">
        <v>2071</v>
      </c>
      <c r="B2053" t="s">
        <v>15</v>
      </c>
      <c r="C2053" t="str">
        <f t="shared" si="64"/>
        <v>B</v>
      </c>
      <c r="D2053" t="s">
        <v>9</v>
      </c>
      <c r="E2053" t="s">
        <v>23</v>
      </c>
      <c r="F2053" t="str">
        <f t="shared" si="65"/>
        <v>Desktop</v>
      </c>
      <c r="G2053">
        <v>7</v>
      </c>
      <c r="H2053">
        <v>0</v>
      </c>
      <c r="I2053">
        <v>0</v>
      </c>
    </row>
    <row r="2054" spans="1:9">
      <c r="A2054" t="s">
        <v>2072</v>
      </c>
      <c r="B2054" t="s">
        <v>8</v>
      </c>
      <c r="C2054" t="str">
        <f t="shared" si="64"/>
        <v>A</v>
      </c>
      <c r="D2054" t="s">
        <v>20</v>
      </c>
      <c r="E2054" t="s">
        <v>23</v>
      </c>
      <c r="F2054" t="str">
        <f t="shared" si="65"/>
        <v>Desktop</v>
      </c>
      <c r="G2054">
        <v>7</v>
      </c>
      <c r="H2054">
        <v>0</v>
      </c>
      <c r="I2054">
        <v>0</v>
      </c>
    </row>
    <row r="2055" spans="1:9">
      <c r="A2055" t="s">
        <v>2073</v>
      </c>
      <c r="B2055" t="s">
        <v>8</v>
      </c>
      <c r="C2055" t="str">
        <f t="shared" si="64"/>
        <v>A</v>
      </c>
      <c r="D2055" t="s">
        <v>20</v>
      </c>
      <c r="E2055" t="s">
        <v>10</v>
      </c>
      <c r="F2055" t="str">
        <f t="shared" si="65"/>
        <v>Mobile</v>
      </c>
      <c r="G2055">
        <v>8</v>
      </c>
      <c r="H2055">
        <v>0</v>
      </c>
      <c r="I2055">
        <v>0</v>
      </c>
    </row>
    <row r="2056" spans="1:9">
      <c r="A2056" t="s">
        <v>2074</v>
      </c>
      <c r="B2056" t="s">
        <v>15</v>
      </c>
      <c r="C2056" t="str">
        <f t="shared" si="64"/>
        <v>B</v>
      </c>
      <c r="D2056" t="s">
        <v>9</v>
      </c>
      <c r="E2056" t="s">
        <v>23</v>
      </c>
      <c r="F2056" t="str">
        <f t="shared" si="65"/>
        <v>Desktop</v>
      </c>
      <c r="G2056">
        <v>2</v>
      </c>
      <c r="H2056">
        <v>0</v>
      </c>
      <c r="I2056">
        <v>0</v>
      </c>
    </row>
    <row r="2057" spans="1:9">
      <c r="A2057" t="s">
        <v>2075</v>
      </c>
      <c r="B2057" t="s">
        <v>8</v>
      </c>
      <c r="C2057" t="str">
        <f t="shared" si="64"/>
        <v>A</v>
      </c>
      <c r="D2057" t="s">
        <v>20</v>
      </c>
      <c r="E2057" t="s">
        <v>10</v>
      </c>
      <c r="F2057" t="str">
        <f t="shared" si="65"/>
        <v>Mobile</v>
      </c>
      <c r="G2057">
        <v>8</v>
      </c>
      <c r="H2057">
        <v>0</v>
      </c>
      <c r="I2057">
        <v>0</v>
      </c>
    </row>
    <row r="2058" spans="1:9">
      <c r="A2058" t="s">
        <v>2076</v>
      </c>
      <c r="B2058" t="s">
        <v>8</v>
      </c>
      <c r="C2058" t="str">
        <f t="shared" si="64"/>
        <v>A</v>
      </c>
      <c r="D2058" t="s">
        <v>20</v>
      </c>
      <c r="E2058" t="s">
        <v>10</v>
      </c>
      <c r="F2058" t="str">
        <f t="shared" si="65"/>
        <v>Mobile</v>
      </c>
      <c r="G2058">
        <v>8</v>
      </c>
      <c r="H2058">
        <v>0</v>
      </c>
      <c r="I2058">
        <v>0</v>
      </c>
    </row>
    <row r="2059" spans="1:9">
      <c r="A2059" t="s">
        <v>2077</v>
      </c>
      <c r="B2059" t="s">
        <v>8</v>
      </c>
      <c r="C2059" t="str">
        <f t="shared" si="64"/>
        <v>A</v>
      </c>
      <c r="D2059" t="s">
        <v>20</v>
      </c>
      <c r="E2059" t="s">
        <v>10</v>
      </c>
      <c r="F2059" t="str">
        <f t="shared" si="65"/>
        <v>Mobile</v>
      </c>
      <c r="G2059">
        <v>6</v>
      </c>
      <c r="H2059">
        <v>1</v>
      </c>
      <c r="I2059">
        <v>965.96</v>
      </c>
    </row>
    <row r="2060" spans="1:9">
      <c r="A2060" t="s">
        <v>2078</v>
      </c>
      <c r="B2060" t="s">
        <v>8</v>
      </c>
      <c r="C2060" t="str">
        <f t="shared" si="64"/>
        <v>A</v>
      </c>
      <c r="D2060" t="s">
        <v>9</v>
      </c>
      <c r="E2060" t="s">
        <v>10</v>
      </c>
      <c r="F2060" t="str">
        <f t="shared" si="65"/>
        <v>Mobile</v>
      </c>
      <c r="G2060">
        <v>4</v>
      </c>
      <c r="H2060">
        <v>0</v>
      </c>
      <c r="I2060">
        <v>0</v>
      </c>
    </row>
    <row r="2061" spans="1:9">
      <c r="A2061" t="s">
        <v>2079</v>
      </c>
      <c r="B2061" t="s">
        <v>15</v>
      </c>
      <c r="C2061" t="str">
        <f t="shared" si="64"/>
        <v>B</v>
      </c>
      <c r="D2061" t="s">
        <v>13</v>
      </c>
      <c r="E2061" t="s">
        <v>10</v>
      </c>
      <c r="F2061" t="str">
        <f t="shared" si="65"/>
        <v>Mobile</v>
      </c>
      <c r="G2061">
        <v>4</v>
      </c>
      <c r="H2061">
        <v>0</v>
      </c>
      <c r="I2061">
        <v>0</v>
      </c>
    </row>
    <row r="2062" spans="1:9">
      <c r="A2062" t="s">
        <v>2080</v>
      </c>
      <c r="B2062" t="s">
        <v>15</v>
      </c>
      <c r="C2062" t="str">
        <f t="shared" si="64"/>
        <v>B</v>
      </c>
      <c r="D2062" t="s">
        <v>13</v>
      </c>
      <c r="E2062" t="s">
        <v>10</v>
      </c>
      <c r="F2062" t="str">
        <f t="shared" si="65"/>
        <v>Mobile</v>
      </c>
      <c r="G2062">
        <v>10</v>
      </c>
      <c r="H2062">
        <v>0</v>
      </c>
      <c r="I2062">
        <v>0</v>
      </c>
    </row>
    <row r="2063" spans="1:9">
      <c r="A2063" t="s">
        <v>2081</v>
      </c>
      <c r="B2063" t="s">
        <v>8</v>
      </c>
      <c r="C2063" t="str">
        <f t="shared" si="64"/>
        <v>A</v>
      </c>
      <c r="D2063" t="s">
        <v>20</v>
      </c>
      <c r="E2063" t="s">
        <v>23</v>
      </c>
      <c r="F2063" t="str">
        <f t="shared" si="65"/>
        <v>Desktop</v>
      </c>
      <c r="G2063">
        <v>7</v>
      </c>
      <c r="H2063">
        <v>0</v>
      </c>
      <c r="I2063">
        <v>0</v>
      </c>
    </row>
    <row r="2064" spans="1:9">
      <c r="A2064" t="s">
        <v>2082</v>
      </c>
      <c r="B2064" t="s">
        <v>15</v>
      </c>
      <c r="C2064" t="str">
        <f t="shared" si="64"/>
        <v>B</v>
      </c>
      <c r="D2064" t="s">
        <v>13</v>
      </c>
      <c r="E2064" t="s">
        <v>10</v>
      </c>
      <c r="F2064" t="str">
        <f t="shared" si="65"/>
        <v>Mobile</v>
      </c>
      <c r="G2064">
        <v>5</v>
      </c>
      <c r="H2064">
        <v>0</v>
      </c>
      <c r="I2064">
        <v>0</v>
      </c>
    </row>
    <row r="2065" spans="1:9">
      <c r="A2065" t="s">
        <v>2083</v>
      </c>
      <c r="B2065" t="s">
        <v>15</v>
      </c>
      <c r="C2065" t="str">
        <f t="shared" si="64"/>
        <v>B</v>
      </c>
      <c r="D2065" t="s">
        <v>13</v>
      </c>
      <c r="E2065" t="s">
        <v>10</v>
      </c>
      <c r="F2065" t="str">
        <f t="shared" si="65"/>
        <v>Mobile</v>
      </c>
      <c r="G2065">
        <v>6</v>
      </c>
      <c r="H2065">
        <v>0</v>
      </c>
      <c r="I2065">
        <v>0</v>
      </c>
    </row>
    <row r="2066" spans="1:9">
      <c r="A2066" t="s">
        <v>2084</v>
      </c>
      <c r="B2066" t="s">
        <v>15</v>
      </c>
      <c r="C2066" t="str">
        <f t="shared" si="64"/>
        <v>B</v>
      </c>
      <c r="D2066" t="s">
        <v>20</v>
      </c>
      <c r="E2066" t="s">
        <v>10</v>
      </c>
      <c r="F2066" t="str">
        <f t="shared" si="65"/>
        <v>Mobile</v>
      </c>
      <c r="G2066">
        <v>10</v>
      </c>
      <c r="H2066">
        <v>0</v>
      </c>
      <c r="I2066">
        <v>0</v>
      </c>
    </row>
    <row r="2067" spans="1:9">
      <c r="A2067" t="s">
        <v>2085</v>
      </c>
      <c r="B2067" t="s">
        <v>8</v>
      </c>
      <c r="C2067" t="str">
        <f t="shared" si="64"/>
        <v>A</v>
      </c>
      <c r="D2067" t="s">
        <v>20</v>
      </c>
      <c r="E2067" t="s">
        <v>23</v>
      </c>
      <c r="F2067" t="str">
        <f t="shared" si="65"/>
        <v>Desktop</v>
      </c>
      <c r="G2067">
        <v>8</v>
      </c>
      <c r="H2067">
        <v>0</v>
      </c>
      <c r="I2067">
        <v>0</v>
      </c>
    </row>
    <row r="2068" spans="1:9">
      <c r="A2068" t="s">
        <v>2086</v>
      </c>
      <c r="B2068" t="s">
        <v>8</v>
      </c>
      <c r="C2068" t="str">
        <f t="shared" si="64"/>
        <v>A</v>
      </c>
      <c r="D2068" t="s">
        <v>20</v>
      </c>
      <c r="E2068" t="s">
        <v>23</v>
      </c>
      <c r="F2068" t="str">
        <f t="shared" si="65"/>
        <v>Desktop</v>
      </c>
      <c r="G2068">
        <v>5</v>
      </c>
      <c r="H2068">
        <v>0</v>
      </c>
      <c r="I2068">
        <v>0</v>
      </c>
    </row>
    <row r="2069" spans="1:9">
      <c r="A2069" t="s">
        <v>2087</v>
      </c>
      <c r="B2069" t="s">
        <v>29</v>
      </c>
      <c r="C2069" t="str">
        <f t="shared" si="64"/>
        <v>B</v>
      </c>
      <c r="D2069" t="s">
        <v>18</v>
      </c>
      <c r="E2069" t="s">
        <v>23</v>
      </c>
      <c r="F2069" t="str">
        <f t="shared" si="65"/>
        <v>Desktop</v>
      </c>
      <c r="G2069">
        <v>4</v>
      </c>
      <c r="H2069">
        <v>0</v>
      </c>
      <c r="I2069">
        <v>0</v>
      </c>
    </row>
    <row r="2070" spans="1:9">
      <c r="A2070" t="s">
        <v>2088</v>
      </c>
      <c r="B2070" t="s">
        <v>15</v>
      </c>
      <c r="C2070" t="str">
        <f t="shared" si="64"/>
        <v>B</v>
      </c>
      <c r="D2070" t="s">
        <v>13</v>
      </c>
      <c r="E2070" t="s">
        <v>23</v>
      </c>
      <c r="F2070" t="str">
        <f t="shared" si="65"/>
        <v>Desktop</v>
      </c>
      <c r="G2070">
        <v>5</v>
      </c>
      <c r="H2070">
        <v>0</v>
      </c>
      <c r="I2070">
        <v>0</v>
      </c>
    </row>
    <row r="2071" spans="1:9">
      <c r="A2071" t="s">
        <v>2089</v>
      </c>
      <c r="B2071" t="s">
        <v>8</v>
      </c>
      <c r="C2071" t="str">
        <f t="shared" si="64"/>
        <v>A</v>
      </c>
      <c r="D2071" t="s">
        <v>18</v>
      </c>
      <c r="E2071" t="s">
        <v>10</v>
      </c>
      <c r="F2071" t="str">
        <f t="shared" si="65"/>
        <v>Mobile</v>
      </c>
      <c r="G2071">
        <v>10</v>
      </c>
      <c r="H2071">
        <v>0</v>
      </c>
      <c r="I2071">
        <v>0</v>
      </c>
    </row>
    <row r="2072" spans="1:9">
      <c r="A2072" t="s">
        <v>2090</v>
      </c>
      <c r="B2072" t="s">
        <v>8</v>
      </c>
      <c r="C2072" t="str">
        <f t="shared" si="64"/>
        <v>A</v>
      </c>
      <c r="D2072" t="s">
        <v>20</v>
      </c>
      <c r="E2072" t="s">
        <v>23</v>
      </c>
      <c r="F2072" t="str">
        <f t="shared" si="65"/>
        <v>Desktop</v>
      </c>
      <c r="G2072">
        <v>4</v>
      </c>
      <c r="H2072">
        <v>0</v>
      </c>
      <c r="I2072">
        <v>0</v>
      </c>
    </row>
    <row r="2073" spans="1:9">
      <c r="A2073" t="s">
        <v>2091</v>
      </c>
      <c r="B2073" t="s">
        <v>15</v>
      </c>
      <c r="C2073" t="str">
        <f t="shared" si="64"/>
        <v>B</v>
      </c>
      <c r="D2073" t="s">
        <v>9</v>
      </c>
      <c r="E2073" t="s">
        <v>10</v>
      </c>
      <c r="F2073" t="str">
        <f t="shared" si="65"/>
        <v>Mobile</v>
      </c>
      <c r="G2073">
        <v>4</v>
      </c>
      <c r="H2073">
        <v>0</v>
      </c>
      <c r="I2073">
        <v>0</v>
      </c>
    </row>
    <row r="2074" spans="1:9">
      <c r="A2074" t="s">
        <v>2092</v>
      </c>
      <c r="B2074" t="s">
        <v>15</v>
      </c>
      <c r="C2074" t="str">
        <f t="shared" si="64"/>
        <v>B</v>
      </c>
      <c r="D2074" t="s">
        <v>13</v>
      </c>
      <c r="E2074" t="s">
        <v>10</v>
      </c>
      <c r="F2074" t="str">
        <f t="shared" si="65"/>
        <v>Mobile</v>
      </c>
      <c r="G2074">
        <v>4</v>
      </c>
      <c r="H2074">
        <v>0</v>
      </c>
      <c r="I2074">
        <v>0</v>
      </c>
    </row>
    <row r="2075" spans="1:9">
      <c r="A2075" t="s">
        <v>2093</v>
      </c>
      <c r="B2075" t="s">
        <v>15</v>
      </c>
      <c r="C2075" t="str">
        <f t="shared" si="64"/>
        <v>B</v>
      </c>
      <c r="D2075" t="s">
        <v>13</v>
      </c>
      <c r="E2075" t="s">
        <v>23</v>
      </c>
      <c r="F2075" t="str">
        <f t="shared" si="65"/>
        <v>Desktop</v>
      </c>
      <c r="G2075">
        <v>6</v>
      </c>
      <c r="H2075">
        <v>1</v>
      </c>
      <c r="I2075">
        <v>1588.12</v>
      </c>
    </row>
    <row r="2076" spans="1:9">
      <c r="A2076" t="s">
        <v>2094</v>
      </c>
      <c r="B2076" t="s">
        <v>15</v>
      </c>
      <c r="C2076" t="str">
        <f t="shared" si="64"/>
        <v>B</v>
      </c>
      <c r="D2076" t="s">
        <v>18</v>
      </c>
      <c r="E2076" t="s">
        <v>10</v>
      </c>
      <c r="F2076" t="str">
        <f t="shared" si="65"/>
        <v>Mobile</v>
      </c>
      <c r="G2076">
        <v>9</v>
      </c>
      <c r="H2076">
        <v>0</v>
      </c>
      <c r="I2076">
        <v>0</v>
      </c>
    </row>
    <row r="2077" spans="1:9">
      <c r="A2077" t="s">
        <v>2095</v>
      </c>
      <c r="B2077" t="s">
        <v>8</v>
      </c>
      <c r="C2077" t="str">
        <f t="shared" si="64"/>
        <v>A</v>
      </c>
      <c r="D2077" t="s">
        <v>20</v>
      </c>
      <c r="E2077" t="s">
        <v>23</v>
      </c>
      <c r="F2077" t="str">
        <f t="shared" si="65"/>
        <v>Desktop</v>
      </c>
      <c r="G2077">
        <v>7</v>
      </c>
      <c r="H2077">
        <v>0</v>
      </c>
      <c r="I2077">
        <v>0</v>
      </c>
    </row>
    <row r="2078" spans="1:9">
      <c r="A2078" t="s">
        <v>2096</v>
      </c>
      <c r="B2078" t="s">
        <v>15</v>
      </c>
      <c r="C2078" t="str">
        <f t="shared" si="64"/>
        <v>B</v>
      </c>
      <c r="D2078" t="s">
        <v>20</v>
      </c>
      <c r="E2078" t="s">
        <v>23</v>
      </c>
      <c r="F2078" t="str">
        <f t="shared" si="65"/>
        <v>Desktop</v>
      </c>
      <c r="G2078">
        <v>8</v>
      </c>
      <c r="H2078">
        <v>0</v>
      </c>
      <c r="I2078">
        <v>0</v>
      </c>
    </row>
    <row r="2079" spans="1:9">
      <c r="A2079" t="s">
        <v>2097</v>
      </c>
      <c r="B2079" t="s">
        <v>15</v>
      </c>
      <c r="C2079" t="str">
        <f t="shared" si="64"/>
        <v>B</v>
      </c>
      <c r="D2079" t="s">
        <v>13</v>
      </c>
      <c r="E2079" t="s">
        <v>10</v>
      </c>
      <c r="F2079" t="str">
        <f t="shared" si="65"/>
        <v>Mobile</v>
      </c>
      <c r="G2079">
        <v>9</v>
      </c>
      <c r="H2079">
        <v>0</v>
      </c>
      <c r="I2079">
        <v>0</v>
      </c>
    </row>
    <row r="2080" spans="1:9">
      <c r="A2080" t="s">
        <v>2098</v>
      </c>
      <c r="B2080" t="s">
        <v>8</v>
      </c>
      <c r="C2080" t="str">
        <f t="shared" si="64"/>
        <v>A</v>
      </c>
      <c r="D2080" t="s">
        <v>13</v>
      </c>
      <c r="E2080" t="s">
        <v>10</v>
      </c>
      <c r="F2080" t="str">
        <f t="shared" si="65"/>
        <v>Mobile</v>
      </c>
      <c r="G2080">
        <v>4</v>
      </c>
      <c r="H2080">
        <v>1</v>
      </c>
      <c r="I2080">
        <v>1855.18</v>
      </c>
    </row>
    <row r="2081" spans="1:9">
      <c r="A2081" t="s">
        <v>2099</v>
      </c>
      <c r="B2081" t="s">
        <v>15</v>
      </c>
      <c r="C2081" t="str">
        <f t="shared" si="64"/>
        <v>B</v>
      </c>
      <c r="D2081" t="s">
        <v>13</v>
      </c>
      <c r="E2081" t="s">
        <v>10</v>
      </c>
      <c r="F2081" t="str">
        <f t="shared" si="65"/>
        <v>Mobile</v>
      </c>
      <c r="G2081">
        <v>3</v>
      </c>
      <c r="H2081">
        <v>0</v>
      </c>
      <c r="I2081">
        <v>0</v>
      </c>
    </row>
    <row r="2082" spans="1:9">
      <c r="A2082" t="s">
        <v>2100</v>
      </c>
      <c r="B2082" t="s">
        <v>29</v>
      </c>
      <c r="C2082" t="str">
        <f t="shared" si="64"/>
        <v>B</v>
      </c>
      <c r="D2082" t="s">
        <v>20</v>
      </c>
      <c r="E2082" t="s">
        <v>33</v>
      </c>
      <c r="F2082" t="str">
        <f t="shared" si="65"/>
        <v>Desktop</v>
      </c>
      <c r="G2082">
        <v>4</v>
      </c>
      <c r="H2082">
        <v>0</v>
      </c>
      <c r="I2082">
        <v>0</v>
      </c>
    </row>
    <row r="2083" spans="1:9">
      <c r="A2083" t="s">
        <v>2101</v>
      </c>
      <c r="B2083" t="s">
        <v>8</v>
      </c>
      <c r="C2083" t="str">
        <f t="shared" si="64"/>
        <v>A</v>
      </c>
      <c r="D2083" t="s">
        <v>13</v>
      </c>
      <c r="E2083" t="s">
        <v>23</v>
      </c>
      <c r="F2083" t="str">
        <f t="shared" si="65"/>
        <v>Desktop</v>
      </c>
      <c r="G2083">
        <v>11</v>
      </c>
      <c r="H2083">
        <v>0</v>
      </c>
      <c r="I2083">
        <v>0</v>
      </c>
    </row>
    <row r="2084" spans="1:9">
      <c r="A2084" t="s">
        <v>2102</v>
      </c>
      <c r="B2084" t="s">
        <v>15</v>
      </c>
      <c r="C2084" t="str">
        <f t="shared" si="64"/>
        <v>B</v>
      </c>
      <c r="D2084" t="s">
        <v>20</v>
      </c>
      <c r="E2084" t="s">
        <v>10</v>
      </c>
      <c r="F2084" t="str">
        <f t="shared" si="65"/>
        <v>Mobile</v>
      </c>
      <c r="G2084">
        <v>13</v>
      </c>
      <c r="H2084">
        <v>0</v>
      </c>
      <c r="I2084">
        <v>0</v>
      </c>
    </row>
    <row r="2085" spans="1:9">
      <c r="A2085" t="s">
        <v>2103</v>
      </c>
      <c r="B2085" t="s">
        <v>8</v>
      </c>
      <c r="C2085" t="str">
        <f t="shared" si="64"/>
        <v>A</v>
      </c>
      <c r="D2085" t="s">
        <v>13</v>
      </c>
      <c r="E2085" t="s">
        <v>10</v>
      </c>
      <c r="F2085" t="str">
        <f t="shared" si="65"/>
        <v>Mobile</v>
      </c>
      <c r="G2085">
        <v>4</v>
      </c>
      <c r="H2085">
        <v>0</v>
      </c>
      <c r="I2085">
        <v>0</v>
      </c>
    </row>
    <row r="2086" spans="1:9">
      <c r="A2086" t="s">
        <v>2104</v>
      </c>
      <c r="B2086" t="s">
        <v>15</v>
      </c>
      <c r="C2086" t="str">
        <f t="shared" si="64"/>
        <v>B</v>
      </c>
      <c r="D2086" t="s">
        <v>13</v>
      </c>
      <c r="E2086" t="s">
        <v>23</v>
      </c>
      <c r="F2086" t="str">
        <f t="shared" si="65"/>
        <v>Desktop</v>
      </c>
      <c r="G2086">
        <v>7</v>
      </c>
      <c r="H2086">
        <v>0</v>
      </c>
      <c r="I2086">
        <v>0</v>
      </c>
    </row>
    <row r="2087" spans="1:9">
      <c r="A2087" t="s">
        <v>2105</v>
      </c>
      <c r="B2087" t="s">
        <v>15</v>
      </c>
      <c r="C2087" t="str">
        <f t="shared" si="64"/>
        <v>B</v>
      </c>
      <c r="D2087" t="s">
        <v>13</v>
      </c>
      <c r="E2087" t="s">
        <v>16</v>
      </c>
      <c r="F2087" t="str">
        <f t="shared" si="65"/>
        <v>Mobile</v>
      </c>
      <c r="G2087">
        <v>6</v>
      </c>
      <c r="H2087">
        <v>0</v>
      </c>
      <c r="I2087">
        <v>0</v>
      </c>
    </row>
    <row r="2088" spans="1:9">
      <c r="A2088" t="s">
        <v>2106</v>
      </c>
      <c r="B2088" t="s">
        <v>15</v>
      </c>
      <c r="C2088" t="str">
        <f t="shared" si="64"/>
        <v>B</v>
      </c>
      <c r="D2088" t="s">
        <v>20</v>
      </c>
      <c r="E2088" t="s">
        <v>10</v>
      </c>
      <c r="F2088" t="str">
        <f t="shared" si="65"/>
        <v>Mobile</v>
      </c>
      <c r="G2088">
        <v>7</v>
      </c>
      <c r="H2088">
        <v>0</v>
      </c>
      <c r="I2088">
        <v>0</v>
      </c>
    </row>
    <row r="2089" spans="1:9">
      <c r="A2089" t="s">
        <v>2107</v>
      </c>
      <c r="B2089" t="s">
        <v>15</v>
      </c>
      <c r="C2089" t="str">
        <f t="shared" si="64"/>
        <v>B</v>
      </c>
      <c r="D2089" t="s">
        <v>20</v>
      </c>
      <c r="E2089" t="s">
        <v>10</v>
      </c>
      <c r="F2089" t="str">
        <f t="shared" si="65"/>
        <v>Mobile</v>
      </c>
      <c r="G2089">
        <v>8</v>
      </c>
      <c r="H2089">
        <v>0</v>
      </c>
      <c r="I2089">
        <v>0</v>
      </c>
    </row>
    <row r="2090" spans="1:9">
      <c r="A2090" t="s">
        <v>2108</v>
      </c>
      <c r="B2090" t="s">
        <v>8</v>
      </c>
      <c r="C2090" t="str">
        <f t="shared" si="64"/>
        <v>A</v>
      </c>
      <c r="D2090" t="s">
        <v>20</v>
      </c>
      <c r="E2090" t="s">
        <v>16</v>
      </c>
      <c r="F2090" t="str">
        <f t="shared" si="65"/>
        <v>Mobile</v>
      </c>
      <c r="G2090">
        <v>4</v>
      </c>
      <c r="H2090">
        <v>0</v>
      </c>
      <c r="I2090">
        <v>0</v>
      </c>
    </row>
    <row r="2091" spans="1:9">
      <c r="A2091" t="s">
        <v>2109</v>
      </c>
      <c r="B2091" t="s">
        <v>15</v>
      </c>
      <c r="C2091" t="str">
        <f t="shared" si="64"/>
        <v>B</v>
      </c>
      <c r="D2091" t="s">
        <v>20</v>
      </c>
      <c r="E2091" t="s">
        <v>10</v>
      </c>
      <c r="F2091" t="str">
        <f t="shared" si="65"/>
        <v>Mobile</v>
      </c>
      <c r="G2091">
        <v>10</v>
      </c>
      <c r="H2091">
        <v>0</v>
      </c>
      <c r="I2091">
        <v>0</v>
      </c>
    </row>
    <row r="2092" spans="1:9">
      <c r="A2092" t="s">
        <v>2110</v>
      </c>
      <c r="B2092" t="s">
        <v>15</v>
      </c>
      <c r="C2092" t="str">
        <f t="shared" si="64"/>
        <v>B</v>
      </c>
      <c r="D2092" t="s">
        <v>9</v>
      </c>
      <c r="E2092" t="s">
        <v>10</v>
      </c>
      <c r="F2092" t="str">
        <f t="shared" si="65"/>
        <v>Mobile</v>
      </c>
      <c r="G2092">
        <v>3</v>
      </c>
      <c r="H2092">
        <v>0</v>
      </c>
      <c r="I2092">
        <v>0</v>
      </c>
    </row>
    <row r="2093" spans="1:9">
      <c r="A2093" t="s">
        <v>2111</v>
      </c>
      <c r="B2093" t="s">
        <v>8</v>
      </c>
      <c r="C2093" t="str">
        <f t="shared" si="64"/>
        <v>A</v>
      </c>
      <c r="D2093" t="s">
        <v>9</v>
      </c>
      <c r="E2093" t="s">
        <v>33</v>
      </c>
      <c r="F2093" t="str">
        <f t="shared" si="65"/>
        <v>Desktop</v>
      </c>
      <c r="G2093">
        <v>8</v>
      </c>
      <c r="H2093">
        <v>1</v>
      </c>
      <c r="I2093">
        <v>4991.67</v>
      </c>
    </row>
    <row r="2094" spans="1:9">
      <c r="A2094" t="s">
        <v>2112</v>
      </c>
      <c r="B2094" t="s">
        <v>15</v>
      </c>
      <c r="C2094" t="str">
        <f t="shared" si="64"/>
        <v>B</v>
      </c>
      <c r="D2094" t="s">
        <v>20</v>
      </c>
      <c r="E2094" t="s">
        <v>23</v>
      </c>
      <c r="F2094" t="str">
        <f t="shared" si="65"/>
        <v>Desktop</v>
      </c>
      <c r="G2094">
        <v>9</v>
      </c>
      <c r="H2094">
        <v>0</v>
      </c>
      <c r="I2094">
        <v>0</v>
      </c>
    </row>
    <row r="2095" spans="1:9">
      <c r="A2095" t="s">
        <v>2113</v>
      </c>
      <c r="B2095" t="s">
        <v>15</v>
      </c>
      <c r="C2095" t="str">
        <f t="shared" si="64"/>
        <v>B</v>
      </c>
      <c r="D2095" t="s">
        <v>13</v>
      </c>
      <c r="E2095" t="s">
        <v>10</v>
      </c>
      <c r="F2095" t="str">
        <f t="shared" si="65"/>
        <v>Mobile</v>
      </c>
      <c r="G2095">
        <v>4</v>
      </c>
      <c r="H2095">
        <v>0</v>
      </c>
      <c r="I2095">
        <v>0</v>
      </c>
    </row>
    <row r="2096" spans="1:9">
      <c r="A2096" t="s">
        <v>2114</v>
      </c>
      <c r="B2096" t="s">
        <v>8</v>
      </c>
      <c r="C2096" t="str">
        <f t="shared" si="64"/>
        <v>A</v>
      </c>
      <c r="D2096" t="s">
        <v>9</v>
      </c>
      <c r="E2096" t="s">
        <v>10</v>
      </c>
      <c r="F2096" t="str">
        <f t="shared" si="65"/>
        <v>Mobile</v>
      </c>
      <c r="G2096">
        <v>9</v>
      </c>
      <c r="H2096">
        <v>1</v>
      </c>
      <c r="I2096">
        <v>5260.84</v>
      </c>
    </row>
    <row r="2097" spans="1:9">
      <c r="A2097" t="s">
        <v>2115</v>
      </c>
      <c r="B2097" t="s">
        <v>15</v>
      </c>
      <c r="C2097" t="str">
        <f t="shared" si="64"/>
        <v>B</v>
      </c>
      <c r="D2097" t="s">
        <v>9</v>
      </c>
      <c r="E2097" t="s">
        <v>10</v>
      </c>
      <c r="F2097" t="str">
        <f t="shared" si="65"/>
        <v>Mobile</v>
      </c>
      <c r="G2097">
        <v>5</v>
      </c>
      <c r="H2097">
        <v>1</v>
      </c>
      <c r="I2097">
        <v>5684.76</v>
      </c>
    </row>
    <row r="2098" spans="1:9">
      <c r="A2098" t="s">
        <v>2116</v>
      </c>
      <c r="B2098" t="s">
        <v>15</v>
      </c>
      <c r="C2098" t="str">
        <f t="shared" si="64"/>
        <v>B</v>
      </c>
      <c r="D2098" t="s">
        <v>20</v>
      </c>
      <c r="E2098" t="s">
        <v>10</v>
      </c>
      <c r="F2098" t="str">
        <f t="shared" si="65"/>
        <v>Mobile</v>
      </c>
      <c r="G2098">
        <v>3</v>
      </c>
      <c r="H2098">
        <v>0</v>
      </c>
      <c r="I2098">
        <v>0</v>
      </c>
    </row>
    <row r="2099" spans="1:9">
      <c r="A2099" t="s">
        <v>2117</v>
      </c>
      <c r="B2099" t="s">
        <v>8</v>
      </c>
      <c r="C2099" t="str">
        <f t="shared" si="64"/>
        <v>A</v>
      </c>
      <c r="D2099" t="s">
        <v>18</v>
      </c>
      <c r="E2099" t="s">
        <v>16</v>
      </c>
      <c r="F2099" t="str">
        <f t="shared" si="65"/>
        <v>Mobile</v>
      </c>
      <c r="G2099">
        <v>6</v>
      </c>
      <c r="H2099">
        <v>0</v>
      </c>
      <c r="I2099">
        <v>0</v>
      </c>
    </row>
    <row r="2100" spans="1:9">
      <c r="A2100" t="s">
        <v>2118</v>
      </c>
      <c r="B2100" t="s">
        <v>29</v>
      </c>
      <c r="C2100" t="str">
        <f t="shared" si="64"/>
        <v>B</v>
      </c>
      <c r="D2100" t="s">
        <v>20</v>
      </c>
      <c r="E2100" t="s">
        <v>10</v>
      </c>
      <c r="F2100" t="str">
        <f t="shared" si="65"/>
        <v>Mobile</v>
      </c>
      <c r="G2100">
        <v>4</v>
      </c>
      <c r="H2100">
        <v>0</v>
      </c>
      <c r="I2100">
        <v>0</v>
      </c>
    </row>
    <row r="2101" spans="1:9">
      <c r="A2101" t="s">
        <v>2119</v>
      </c>
      <c r="B2101" t="s">
        <v>8</v>
      </c>
      <c r="C2101" t="str">
        <f t="shared" si="64"/>
        <v>A</v>
      </c>
      <c r="D2101" t="s">
        <v>20</v>
      </c>
      <c r="E2101" t="s">
        <v>23</v>
      </c>
      <c r="F2101" t="str">
        <f t="shared" si="65"/>
        <v>Desktop</v>
      </c>
      <c r="G2101">
        <v>5</v>
      </c>
      <c r="H2101">
        <v>0</v>
      </c>
      <c r="I2101">
        <v>0</v>
      </c>
    </row>
    <row r="2102" spans="1:9">
      <c r="A2102" t="s">
        <v>2120</v>
      </c>
      <c r="B2102" t="s">
        <v>8</v>
      </c>
      <c r="C2102" t="str">
        <f t="shared" si="64"/>
        <v>A</v>
      </c>
      <c r="D2102" t="s">
        <v>20</v>
      </c>
      <c r="E2102" t="s">
        <v>33</v>
      </c>
      <c r="F2102" t="str">
        <f t="shared" si="65"/>
        <v>Desktop</v>
      </c>
      <c r="G2102">
        <v>6</v>
      </c>
      <c r="H2102">
        <v>0</v>
      </c>
      <c r="I2102">
        <v>0</v>
      </c>
    </row>
    <row r="2103" spans="1:9">
      <c r="A2103" t="s">
        <v>2121</v>
      </c>
      <c r="B2103" t="s">
        <v>8</v>
      </c>
      <c r="C2103" t="str">
        <f t="shared" si="64"/>
        <v>A</v>
      </c>
      <c r="D2103" t="s">
        <v>13</v>
      </c>
      <c r="E2103" t="s">
        <v>10</v>
      </c>
      <c r="F2103" t="str">
        <f t="shared" si="65"/>
        <v>Mobile</v>
      </c>
      <c r="G2103">
        <v>7</v>
      </c>
      <c r="H2103">
        <v>0</v>
      </c>
      <c r="I2103">
        <v>0</v>
      </c>
    </row>
    <row r="2104" spans="1:9">
      <c r="A2104" t="s">
        <v>2122</v>
      </c>
      <c r="B2104" t="s">
        <v>15</v>
      </c>
      <c r="C2104" t="str">
        <f t="shared" si="64"/>
        <v>B</v>
      </c>
      <c r="D2104" t="s">
        <v>20</v>
      </c>
      <c r="E2104" t="s">
        <v>10</v>
      </c>
      <c r="F2104" t="str">
        <f t="shared" si="65"/>
        <v>Mobile</v>
      </c>
      <c r="G2104">
        <v>1</v>
      </c>
      <c r="H2104">
        <v>0</v>
      </c>
      <c r="I2104">
        <v>0</v>
      </c>
    </row>
    <row r="2105" spans="1:9">
      <c r="A2105" t="s">
        <v>2123</v>
      </c>
      <c r="B2105" t="s">
        <v>15</v>
      </c>
      <c r="C2105" t="str">
        <f t="shared" si="64"/>
        <v>B</v>
      </c>
      <c r="D2105" t="s">
        <v>20</v>
      </c>
      <c r="E2105" t="s">
        <v>10</v>
      </c>
      <c r="F2105" t="str">
        <f t="shared" si="65"/>
        <v>Mobile</v>
      </c>
      <c r="G2105">
        <v>6</v>
      </c>
      <c r="H2105">
        <v>0</v>
      </c>
      <c r="I2105">
        <v>0</v>
      </c>
    </row>
    <row r="2106" spans="1:9">
      <c r="A2106" t="s">
        <v>2124</v>
      </c>
      <c r="B2106" t="s">
        <v>8</v>
      </c>
      <c r="C2106" t="str">
        <f t="shared" si="64"/>
        <v>A</v>
      </c>
      <c r="D2106" t="s">
        <v>20</v>
      </c>
      <c r="E2106" t="s">
        <v>33</v>
      </c>
      <c r="F2106" t="str">
        <f t="shared" si="65"/>
        <v>Desktop</v>
      </c>
      <c r="G2106">
        <v>7</v>
      </c>
      <c r="H2106">
        <v>0</v>
      </c>
      <c r="I2106">
        <v>0</v>
      </c>
    </row>
    <row r="2107" spans="1:9">
      <c r="A2107" t="s">
        <v>2125</v>
      </c>
      <c r="B2107" t="s">
        <v>8</v>
      </c>
      <c r="C2107" t="str">
        <f t="shared" si="64"/>
        <v>A</v>
      </c>
      <c r="D2107" t="s">
        <v>9</v>
      </c>
      <c r="E2107" t="s">
        <v>23</v>
      </c>
      <c r="F2107" t="str">
        <f t="shared" si="65"/>
        <v>Desktop</v>
      </c>
      <c r="G2107">
        <v>6</v>
      </c>
      <c r="H2107">
        <v>0</v>
      </c>
      <c r="I2107">
        <v>0</v>
      </c>
    </row>
    <row r="2108" spans="1:9">
      <c r="A2108" t="s">
        <v>2126</v>
      </c>
      <c r="B2108" t="s">
        <v>15</v>
      </c>
      <c r="C2108" t="str">
        <f t="shared" si="64"/>
        <v>B</v>
      </c>
      <c r="D2108" t="s">
        <v>9</v>
      </c>
      <c r="E2108" t="s">
        <v>10</v>
      </c>
      <c r="F2108" t="str">
        <f t="shared" si="65"/>
        <v>Mobile</v>
      </c>
      <c r="G2108">
        <v>10</v>
      </c>
      <c r="H2108">
        <v>0</v>
      </c>
      <c r="I2108">
        <v>0</v>
      </c>
    </row>
    <row r="2109" spans="1:9">
      <c r="A2109" t="s">
        <v>2127</v>
      </c>
      <c r="B2109" t="s">
        <v>8</v>
      </c>
      <c r="C2109" t="str">
        <f t="shared" si="64"/>
        <v>A</v>
      </c>
      <c r="D2109" t="s">
        <v>20</v>
      </c>
      <c r="E2109" t="s">
        <v>23</v>
      </c>
      <c r="F2109" t="str">
        <f t="shared" si="65"/>
        <v>Desktop</v>
      </c>
      <c r="G2109">
        <v>7</v>
      </c>
      <c r="H2109">
        <v>0</v>
      </c>
      <c r="I2109">
        <v>0</v>
      </c>
    </row>
    <row r="2110" spans="1:9">
      <c r="A2110" t="s">
        <v>2128</v>
      </c>
      <c r="B2110" t="s">
        <v>15</v>
      </c>
      <c r="C2110" t="str">
        <f t="shared" si="64"/>
        <v>B</v>
      </c>
      <c r="D2110" t="s">
        <v>9</v>
      </c>
      <c r="E2110" t="s">
        <v>23</v>
      </c>
      <c r="F2110" t="str">
        <f t="shared" si="65"/>
        <v>Desktop</v>
      </c>
      <c r="G2110">
        <v>10</v>
      </c>
      <c r="H2110">
        <v>0</v>
      </c>
      <c r="I2110">
        <v>0</v>
      </c>
    </row>
    <row r="2111" spans="1:9">
      <c r="A2111" t="s">
        <v>2129</v>
      </c>
      <c r="B2111" t="s">
        <v>15</v>
      </c>
      <c r="C2111" t="str">
        <f t="shared" si="64"/>
        <v>B</v>
      </c>
      <c r="D2111" t="s">
        <v>9</v>
      </c>
      <c r="E2111" t="s">
        <v>33</v>
      </c>
      <c r="F2111" t="str">
        <f t="shared" si="65"/>
        <v>Desktop</v>
      </c>
      <c r="G2111">
        <v>5</v>
      </c>
      <c r="H2111">
        <v>0</v>
      </c>
      <c r="I2111">
        <v>0</v>
      </c>
    </row>
    <row r="2112" spans="1:9">
      <c r="A2112" t="s">
        <v>2130</v>
      </c>
      <c r="B2112" t="s">
        <v>15</v>
      </c>
      <c r="C2112" t="str">
        <f t="shared" si="64"/>
        <v>B</v>
      </c>
      <c r="D2112" t="s">
        <v>13</v>
      </c>
      <c r="E2112" t="s">
        <v>10</v>
      </c>
      <c r="F2112" t="str">
        <f t="shared" si="65"/>
        <v>Mobile</v>
      </c>
      <c r="G2112">
        <v>15</v>
      </c>
      <c r="H2112">
        <v>0</v>
      </c>
      <c r="I2112">
        <v>0</v>
      </c>
    </row>
    <row r="2113" spans="1:9">
      <c r="A2113" t="s">
        <v>2131</v>
      </c>
      <c r="B2113" t="s">
        <v>29</v>
      </c>
      <c r="C2113" t="str">
        <f t="shared" si="64"/>
        <v>B</v>
      </c>
      <c r="D2113" t="s">
        <v>20</v>
      </c>
      <c r="E2113" t="s">
        <v>23</v>
      </c>
      <c r="F2113" t="str">
        <f t="shared" si="65"/>
        <v>Desktop</v>
      </c>
      <c r="G2113">
        <v>5</v>
      </c>
      <c r="H2113">
        <v>0</v>
      </c>
      <c r="I2113">
        <v>0</v>
      </c>
    </row>
    <row r="2114" spans="1:9">
      <c r="A2114" t="s">
        <v>2132</v>
      </c>
      <c r="B2114" t="s">
        <v>8</v>
      </c>
      <c r="C2114" t="str">
        <f t="shared" ref="C2114:C2177" si="66">IF(OR(B2114="control", B2114="A"), "A", "B")</f>
        <v>A</v>
      </c>
      <c r="D2114" t="s">
        <v>13</v>
      </c>
      <c r="E2114" t="s">
        <v>16</v>
      </c>
      <c r="F2114" t="str">
        <f t="shared" ref="F2114:F2177" si="67">PROPER(E2114)</f>
        <v>Mobile</v>
      </c>
      <c r="G2114">
        <v>8</v>
      </c>
      <c r="H2114">
        <v>0</v>
      </c>
      <c r="I2114">
        <v>0</v>
      </c>
    </row>
    <row r="2115" spans="1:9">
      <c r="A2115" t="s">
        <v>2133</v>
      </c>
      <c r="B2115" t="s">
        <v>29</v>
      </c>
      <c r="C2115" t="str">
        <f t="shared" si="66"/>
        <v>B</v>
      </c>
      <c r="D2115" t="s">
        <v>18</v>
      </c>
      <c r="E2115" t="s">
        <v>10</v>
      </c>
      <c r="F2115" t="str">
        <f t="shared" si="67"/>
        <v>Mobile</v>
      </c>
      <c r="G2115">
        <v>6</v>
      </c>
      <c r="H2115">
        <v>0</v>
      </c>
      <c r="I2115">
        <v>0</v>
      </c>
    </row>
    <row r="2116" spans="1:9">
      <c r="A2116" t="s">
        <v>2134</v>
      </c>
      <c r="B2116" t="s">
        <v>15</v>
      </c>
      <c r="C2116" t="str">
        <f t="shared" si="66"/>
        <v>B</v>
      </c>
      <c r="D2116" t="s">
        <v>13</v>
      </c>
      <c r="E2116" t="s">
        <v>10</v>
      </c>
      <c r="F2116" t="str">
        <f t="shared" si="67"/>
        <v>Mobile</v>
      </c>
      <c r="G2116">
        <v>6</v>
      </c>
      <c r="H2116">
        <v>0</v>
      </c>
      <c r="I2116">
        <v>0</v>
      </c>
    </row>
    <row r="2117" spans="1:9">
      <c r="A2117" t="s">
        <v>2135</v>
      </c>
      <c r="B2117" t="s">
        <v>15</v>
      </c>
      <c r="C2117" t="str">
        <f t="shared" si="66"/>
        <v>B</v>
      </c>
      <c r="D2117" t="s">
        <v>20</v>
      </c>
      <c r="E2117" t="s">
        <v>10</v>
      </c>
      <c r="F2117" t="str">
        <f t="shared" si="67"/>
        <v>Mobile</v>
      </c>
      <c r="G2117">
        <v>10</v>
      </c>
      <c r="H2117">
        <v>0</v>
      </c>
      <c r="I2117">
        <v>0</v>
      </c>
    </row>
    <row r="2118" spans="1:9">
      <c r="A2118" t="s">
        <v>2136</v>
      </c>
      <c r="B2118" t="s">
        <v>8</v>
      </c>
      <c r="C2118" t="str">
        <f t="shared" si="66"/>
        <v>A</v>
      </c>
      <c r="D2118" t="s">
        <v>13</v>
      </c>
      <c r="E2118" t="s">
        <v>10</v>
      </c>
      <c r="F2118" t="str">
        <f t="shared" si="67"/>
        <v>Mobile</v>
      </c>
      <c r="G2118">
        <v>10</v>
      </c>
      <c r="H2118">
        <v>0</v>
      </c>
      <c r="I2118">
        <v>0</v>
      </c>
    </row>
    <row r="2119" spans="1:9">
      <c r="A2119" t="s">
        <v>2137</v>
      </c>
      <c r="B2119" t="s">
        <v>15</v>
      </c>
      <c r="C2119" t="str">
        <f t="shared" si="66"/>
        <v>B</v>
      </c>
      <c r="D2119" t="s">
        <v>13</v>
      </c>
      <c r="E2119" t="s">
        <v>10</v>
      </c>
      <c r="F2119" t="str">
        <f t="shared" si="67"/>
        <v>Mobile</v>
      </c>
      <c r="G2119">
        <v>5</v>
      </c>
      <c r="H2119">
        <v>0</v>
      </c>
      <c r="I2119">
        <v>0</v>
      </c>
    </row>
    <row r="2120" spans="1:9">
      <c r="A2120" t="s">
        <v>2138</v>
      </c>
      <c r="B2120" t="s">
        <v>8</v>
      </c>
      <c r="C2120" t="str">
        <f t="shared" si="66"/>
        <v>A</v>
      </c>
      <c r="D2120" t="s">
        <v>13</v>
      </c>
      <c r="E2120" t="s">
        <v>33</v>
      </c>
      <c r="F2120" t="str">
        <f t="shared" si="67"/>
        <v>Desktop</v>
      </c>
      <c r="G2120">
        <v>9</v>
      </c>
      <c r="H2120">
        <v>0</v>
      </c>
      <c r="I2120">
        <v>0</v>
      </c>
    </row>
    <row r="2121" spans="1:9">
      <c r="A2121" t="s">
        <v>2139</v>
      </c>
      <c r="B2121" t="s">
        <v>8</v>
      </c>
      <c r="C2121" t="str">
        <f t="shared" si="66"/>
        <v>A</v>
      </c>
      <c r="D2121" t="s">
        <v>20</v>
      </c>
      <c r="E2121" t="s">
        <v>10</v>
      </c>
      <c r="F2121" t="str">
        <f t="shared" si="67"/>
        <v>Mobile</v>
      </c>
      <c r="G2121">
        <v>1</v>
      </c>
      <c r="H2121">
        <v>0</v>
      </c>
      <c r="I2121">
        <v>0</v>
      </c>
    </row>
    <row r="2122" spans="1:9">
      <c r="A2122" t="s">
        <v>2140</v>
      </c>
      <c r="B2122" t="s">
        <v>8</v>
      </c>
      <c r="C2122" t="str">
        <f t="shared" si="66"/>
        <v>A</v>
      </c>
      <c r="D2122" t="s">
        <v>20</v>
      </c>
      <c r="E2122" t="s">
        <v>10</v>
      </c>
      <c r="F2122" t="str">
        <f t="shared" si="67"/>
        <v>Mobile</v>
      </c>
      <c r="G2122">
        <v>7</v>
      </c>
      <c r="H2122">
        <v>0</v>
      </c>
      <c r="I2122">
        <v>0</v>
      </c>
    </row>
    <row r="2123" spans="1:9">
      <c r="A2123" t="s">
        <v>2141</v>
      </c>
      <c r="B2123" t="s">
        <v>15</v>
      </c>
      <c r="C2123" t="str">
        <f t="shared" si="66"/>
        <v>B</v>
      </c>
      <c r="D2123" t="s">
        <v>9</v>
      </c>
      <c r="E2123" t="s">
        <v>23</v>
      </c>
      <c r="F2123" t="str">
        <f t="shared" si="67"/>
        <v>Desktop</v>
      </c>
      <c r="G2123">
        <v>8</v>
      </c>
      <c r="H2123">
        <v>0</v>
      </c>
      <c r="I2123">
        <v>0</v>
      </c>
    </row>
    <row r="2124" spans="1:9">
      <c r="A2124" t="s">
        <v>2142</v>
      </c>
      <c r="B2124" t="s">
        <v>15</v>
      </c>
      <c r="C2124" t="str">
        <f t="shared" si="66"/>
        <v>B</v>
      </c>
      <c r="D2124" t="s">
        <v>9</v>
      </c>
      <c r="E2124" t="s">
        <v>10</v>
      </c>
      <c r="F2124" t="str">
        <f t="shared" si="67"/>
        <v>Mobile</v>
      </c>
      <c r="G2124">
        <v>7</v>
      </c>
      <c r="H2124">
        <v>0</v>
      </c>
      <c r="I2124">
        <v>0</v>
      </c>
    </row>
    <row r="2125" spans="1:9">
      <c r="A2125" t="s">
        <v>2143</v>
      </c>
      <c r="B2125" t="s">
        <v>15</v>
      </c>
      <c r="C2125" t="str">
        <f t="shared" si="66"/>
        <v>B</v>
      </c>
      <c r="D2125" t="s">
        <v>20</v>
      </c>
      <c r="E2125" t="s">
        <v>10</v>
      </c>
      <c r="F2125" t="str">
        <f t="shared" si="67"/>
        <v>Mobile</v>
      </c>
      <c r="G2125">
        <v>8</v>
      </c>
      <c r="H2125">
        <v>0</v>
      </c>
      <c r="I2125">
        <v>0</v>
      </c>
    </row>
    <row r="2126" spans="1:9">
      <c r="A2126" t="s">
        <v>2144</v>
      </c>
      <c r="B2126" t="s">
        <v>15</v>
      </c>
      <c r="C2126" t="str">
        <f t="shared" si="66"/>
        <v>B</v>
      </c>
      <c r="D2126" t="s">
        <v>18</v>
      </c>
      <c r="E2126" t="s">
        <v>23</v>
      </c>
      <c r="F2126" t="str">
        <f t="shared" si="67"/>
        <v>Desktop</v>
      </c>
      <c r="G2126">
        <v>10</v>
      </c>
      <c r="H2126">
        <v>0</v>
      </c>
      <c r="I2126">
        <v>0</v>
      </c>
    </row>
    <row r="2127" spans="1:9">
      <c r="A2127" t="s">
        <v>2145</v>
      </c>
      <c r="B2127" t="s">
        <v>8</v>
      </c>
      <c r="C2127" t="str">
        <f t="shared" si="66"/>
        <v>A</v>
      </c>
      <c r="D2127" t="s">
        <v>20</v>
      </c>
      <c r="E2127" t="s">
        <v>16</v>
      </c>
      <c r="F2127" t="str">
        <f t="shared" si="67"/>
        <v>Mobile</v>
      </c>
      <c r="G2127">
        <v>6</v>
      </c>
      <c r="H2127">
        <v>0</v>
      </c>
      <c r="I2127">
        <v>0</v>
      </c>
    </row>
    <row r="2128" spans="1:9">
      <c r="A2128" t="s">
        <v>2146</v>
      </c>
      <c r="B2128" t="s">
        <v>15</v>
      </c>
      <c r="C2128" t="str">
        <f t="shared" si="66"/>
        <v>B</v>
      </c>
      <c r="D2128" t="s">
        <v>13</v>
      </c>
      <c r="E2128" t="s">
        <v>23</v>
      </c>
      <c r="F2128" t="str">
        <f t="shared" si="67"/>
        <v>Desktop</v>
      </c>
      <c r="G2128">
        <v>3</v>
      </c>
      <c r="H2128">
        <v>0</v>
      </c>
      <c r="I2128">
        <v>0</v>
      </c>
    </row>
    <row r="2129" spans="1:9">
      <c r="A2129" t="s">
        <v>2147</v>
      </c>
      <c r="B2129" t="s">
        <v>8</v>
      </c>
      <c r="C2129" t="str">
        <f t="shared" si="66"/>
        <v>A</v>
      </c>
      <c r="D2129" t="s">
        <v>13</v>
      </c>
      <c r="E2129" t="s">
        <v>23</v>
      </c>
      <c r="F2129" t="str">
        <f t="shared" si="67"/>
        <v>Desktop</v>
      </c>
      <c r="G2129">
        <v>9</v>
      </c>
      <c r="H2129">
        <v>0</v>
      </c>
      <c r="I2129">
        <v>0</v>
      </c>
    </row>
    <row r="2130" spans="1:9">
      <c r="A2130" t="s">
        <v>2148</v>
      </c>
      <c r="B2130" t="s">
        <v>15</v>
      </c>
      <c r="C2130" t="str">
        <f t="shared" si="66"/>
        <v>B</v>
      </c>
      <c r="D2130" t="s">
        <v>9</v>
      </c>
      <c r="E2130" t="s">
        <v>10</v>
      </c>
      <c r="F2130" t="str">
        <f t="shared" si="67"/>
        <v>Mobile</v>
      </c>
      <c r="G2130">
        <v>4</v>
      </c>
      <c r="H2130">
        <v>0</v>
      </c>
      <c r="I2130">
        <v>0</v>
      </c>
    </row>
    <row r="2131" spans="1:9">
      <c r="A2131" t="s">
        <v>2149</v>
      </c>
      <c r="B2131" t="s">
        <v>15</v>
      </c>
      <c r="C2131" t="str">
        <f t="shared" si="66"/>
        <v>B</v>
      </c>
      <c r="D2131" t="s">
        <v>18</v>
      </c>
      <c r="E2131" t="s">
        <v>33</v>
      </c>
      <c r="F2131" t="str">
        <f t="shared" si="67"/>
        <v>Desktop</v>
      </c>
      <c r="G2131">
        <v>3</v>
      </c>
      <c r="H2131">
        <v>0</v>
      </c>
      <c r="I2131">
        <v>0</v>
      </c>
    </row>
    <row r="2132" spans="1:9">
      <c r="A2132" t="s">
        <v>2150</v>
      </c>
      <c r="B2132" t="s">
        <v>15</v>
      </c>
      <c r="C2132" t="str">
        <f t="shared" si="66"/>
        <v>B</v>
      </c>
      <c r="D2132" t="s">
        <v>20</v>
      </c>
      <c r="E2132" t="s">
        <v>10</v>
      </c>
      <c r="F2132" t="str">
        <f t="shared" si="67"/>
        <v>Mobile</v>
      </c>
      <c r="G2132">
        <v>4</v>
      </c>
      <c r="H2132">
        <v>0</v>
      </c>
      <c r="I2132">
        <v>0</v>
      </c>
    </row>
    <row r="2133" spans="1:9">
      <c r="A2133" t="s">
        <v>2151</v>
      </c>
      <c r="B2133" t="s">
        <v>15</v>
      </c>
      <c r="C2133" t="str">
        <f t="shared" si="66"/>
        <v>B</v>
      </c>
      <c r="D2133" t="s">
        <v>9</v>
      </c>
      <c r="E2133" t="s">
        <v>23</v>
      </c>
      <c r="F2133" t="str">
        <f t="shared" si="67"/>
        <v>Desktop</v>
      </c>
      <c r="G2133">
        <v>6</v>
      </c>
      <c r="H2133">
        <v>1</v>
      </c>
      <c r="I2133">
        <v>4476.12</v>
      </c>
    </row>
    <row r="2134" spans="1:9">
      <c r="A2134" t="s">
        <v>2152</v>
      </c>
      <c r="B2134" t="s">
        <v>8</v>
      </c>
      <c r="C2134" t="str">
        <f t="shared" si="66"/>
        <v>A</v>
      </c>
      <c r="D2134" t="s">
        <v>20</v>
      </c>
      <c r="E2134" t="s">
        <v>10</v>
      </c>
      <c r="F2134" t="str">
        <f t="shared" si="67"/>
        <v>Mobile</v>
      </c>
      <c r="G2134">
        <v>5</v>
      </c>
      <c r="H2134">
        <v>0</v>
      </c>
      <c r="I2134">
        <v>0</v>
      </c>
    </row>
    <row r="2135" spans="1:9">
      <c r="A2135" t="s">
        <v>2153</v>
      </c>
      <c r="B2135" t="s">
        <v>15</v>
      </c>
      <c r="C2135" t="str">
        <f t="shared" si="66"/>
        <v>B</v>
      </c>
      <c r="D2135" t="s">
        <v>13</v>
      </c>
      <c r="E2135" t="s">
        <v>33</v>
      </c>
      <c r="F2135" t="str">
        <f t="shared" si="67"/>
        <v>Desktop</v>
      </c>
      <c r="G2135">
        <v>10</v>
      </c>
      <c r="H2135">
        <v>1</v>
      </c>
      <c r="I2135">
        <v>2199.35</v>
      </c>
    </row>
    <row r="2136" spans="1:9">
      <c r="A2136" t="s">
        <v>2154</v>
      </c>
      <c r="B2136" t="s">
        <v>15</v>
      </c>
      <c r="C2136" t="str">
        <f t="shared" si="66"/>
        <v>B</v>
      </c>
      <c r="D2136" t="s">
        <v>13</v>
      </c>
      <c r="E2136" t="s">
        <v>23</v>
      </c>
      <c r="F2136" t="str">
        <f t="shared" si="67"/>
        <v>Desktop</v>
      </c>
      <c r="G2136">
        <v>8</v>
      </c>
      <c r="H2136">
        <v>1</v>
      </c>
      <c r="I2136">
        <v>2234.4299999999998</v>
      </c>
    </row>
    <row r="2137" spans="1:9">
      <c r="A2137" t="s">
        <v>2155</v>
      </c>
      <c r="B2137" t="s">
        <v>8</v>
      </c>
      <c r="C2137" t="str">
        <f t="shared" si="66"/>
        <v>A</v>
      </c>
      <c r="D2137" t="s">
        <v>13</v>
      </c>
      <c r="E2137" t="s">
        <v>23</v>
      </c>
      <c r="F2137" t="str">
        <f t="shared" si="67"/>
        <v>Desktop</v>
      </c>
      <c r="G2137">
        <v>6</v>
      </c>
      <c r="H2137">
        <v>1</v>
      </c>
      <c r="I2137">
        <v>1968.37</v>
      </c>
    </row>
    <row r="2138" spans="1:9">
      <c r="A2138" t="s">
        <v>2156</v>
      </c>
      <c r="B2138" t="s">
        <v>8</v>
      </c>
      <c r="C2138" t="str">
        <f t="shared" si="66"/>
        <v>A</v>
      </c>
      <c r="D2138" t="s">
        <v>20</v>
      </c>
      <c r="E2138" t="s">
        <v>10</v>
      </c>
      <c r="F2138" t="str">
        <f t="shared" si="67"/>
        <v>Mobile</v>
      </c>
      <c r="G2138">
        <v>11</v>
      </c>
      <c r="H2138">
        <v>0</v>
      </c>
      <c r="I2138">
        <v>0</v>
      </c>
    </row>
    <row r="2139" spans="1:9">
      <c r="A2139" t="s">
        <v>2157</v>
      </c>
      <c r="B2139" t="s">
        <v>15</v>
      </c>
      <c r="C2139" t="str">
        <f t="shared" si="66"/>
        <v>B</v>
      </c>
      <c r="D2139" t="s">
        <v>9</v>
      </c>
      <c r="E2139" t="s">
        <v>10</v>
      </c>
      <c r="F2139" t="str">
        <f t="shared" si="67"/>
        <v>Mobile</v>
      </c>
      <c r="G2139">
        <v>8</v>
      </c>
      <c r="H2139">
        <v>1</v>
      </c>
      <c r="I2139">
        <v>5261</v>
      </c>
    </row>
    <row r="2140" spans="1:9">
      <c r="A2140" t="s">
        <v>2158</v>
      </c>
      <c r="B2140" t="s">
        <v>15</v>
      </c>
      <c r="C2140" t="str">
        <f t="shared" si="66"/>
        <v>B</v>
      </c>
      <c r="D2140" t="s">
        <v>20</v>
      </c>
      <c r="E2140" t="s">
        <v>23</v>
      </c>
      <c r="F2140" t="str">
        <f t="shared" si="67"/>
        <v>Desktop</v>
      </c>
      <c r="G2140">
        <v>5</v>
      </c>
      <c r="H2140">
        <v>1</v>
      </c>
      <c r="I2140">
        <v>1374.83</v>
      </c>
    </row>
    <row r="2141" spans="1:9">
      <c r="A2141" t="s">
        <v>2159</v>
      </c>
      <c r="B2141" t="s">
        <v>8</v>
      </c>
      <c r="C2141" t="str">
        <f t="shared" si="66"/>
        <v>A</v>
      </c>
      <c r="D2141" t="s">
        <v>20</v>
      </c>
      <c r="E2141" t="s">
        <v>23</v>
      </c>
      <c r="F2141" t="str">
        <f t="shared" si="67"/>
        <v>Desktop</v>
      </c>
      <c r="G2141">
        <v>3</v>
      </c>
      <c r="H2141">
        <v>0</v>
      </c>
      <c r="I2141">
        <v>0</v>
      </c>
    </row>
    <row r="2142" spans="1:9">
      <c r="A2142" t="s">
        <v>2160</v>
      </c>
      <c r="B2142" t="s">
        <v>8</v>
      </c>
      <c r="C2142" t="str">
        <f t="shared" si="66"/>
        <v>A</v>
      </c>
      <c r="D2142" t="s">
        <v>13</v>
      </c>
      <c r="E2142" t="s">
        <v>10</v>
      </c>
      <c r="F2142" t="str">
        <f t="shared" si="67"/>
        <v>Mobile</v>
      </c>
      <c r="G2142">
        <v>7</v>
      </c>
      <c r="H2142">
        <v>0</v>
      </c>
      <c r="I2142">
        <v>0</v>
      </c>
    </row>
    <row r="2143" spans="1:9">
      <c r="A2143" t="s">
        <v>2161</v>
      </c>
      <c r="B2143" t="s">
        <v>15</v>
      </c>
      <c r="C2143" t="str">
        <f t="shared" si="66"/>
        <v>B</v>
      </c>
      <c r="D2143" t="s">
        <v>13</v>
      </c>
      <c r="E2143" t="s">
        <v>33</v>
      </c>
      <c r="F2143" t="str">
        <f t="shared" si="67"/>
        <v>Desktop</v>
      </c>
      <c r="G2143">
        <v>4</v>
      </c>
      <c r="H2143">
        <v>0</v>
      </c>
      <c r="I2143">
        <v>0</v>
      </c>
    </row>
    <row r="2144" spans="1:9">
      <c r="A2144" t="s">
        <v>2162</v>
      </c>
      <c r="B2144" t="s">
        <v>15</v>
      </c>
      <c r="C2144" t="str">
        <f t="shared" si="66"/>
        <v>B</v>
      </c>
      <c r="D2144" t="s">
        <v>9</v>
      </c>
      <c r="E2144" t="s">
        <v>16</v>
      </c>
      <c r="F2144" t="str">
        <f t="shared" si="67"/>
        <v>Mobile</v>
      </c>
      <c r="G2144">
        <v>4</v>
      </c>
      <c r="H2144">
        <v>0</v>
      </c>
      <c r="I2144">
        <v>0</v>
      </c>
    </row>
    <row r="2145" spans="1:9">
      <c r="A2145" t="s">
        <v>2163</v>
      </c>
      <c r="B2145" t="s">
        <v>8</v>
      </c>
      <c r="C2145" t="str">
        <f t="shared" si="66"/>
        <v>A</v>
      </c>
      <c r="D2145" t="s">
        <v>20</v>
      </c>
      <c r="E2145" t="s">
        <v>10</v>
      </c>
      <c r="F2145" t="str">
        <f t="shared" si="67"/>
        <v>Mobile</v>
      </c>
      <c r="G2145">
        <v>1</v>
      </c>
      <c r="H2145">
        <v>0</v>
      </c>
      <c r="I2145">
        <v>0</v>
      </c>
    </row>
    <row r="2146" spans="1:9">
      <c r="A2146" t="s">
        <v>2164</v>
      </c>
      <c r="B2146" t="s">
        <v>8</v>
      </c>
      <c r="C2146" t="str">
        <f t="shared" si="66"/>
        <v>A</v>
      </c>
      <c r="D2146" t="s">
        <v>20</v>
      </c>
      <c r="E2146" t="s">
        <v>16</v>
      </c>
      <c r="F2146" t="str">
        <f t="shared" si="67"/>
        <v>Mobile</v>
      </c>
      <c r="G2146">
        <v>8</v>
      </c>
      <c r="H2146">
        <v>0</v>
      </c>
      <c r="I2146">
        <v>0</v>
      </c>
    </row>
    <row r="2147" spans="1:9">
      <c r="A2147" t="s">
        <v>2165</v>
      </c>
      <c r="B2147" t="s">
        <v>8</v>
      </c>
      <c r="C2147" t="str">
        <f t="shared" si="66"/>
        <v>A</v>
      </c>
      <c r="D2147" t="s">
        <v>9</v>
      </c>
      <c r="E2147" t="s">
        <v>10</v>
      </c>
      <c r="F2147" t="str">
        <f t="shared" si="67"/>
        <v>Mobile</v>
      </c>
      <c r="G2147">
        <v>10</v>
      </c>
      <c r="H2147">
        <v>1</v>
      </c>
      <c r="I2147">
        <v>5172.8100000000004</v>
      </c>
    </row>
    <row r="2148" spans="1:9">
      <c r="A2148" t="s">
        <v>2166</v>
      </c>
      <c r="B2148" t="s">
        <v>8</v>
      </c>
      <c r="C2148" t="str">
        <f t="shared" si="66"/>
        <v>A</v>
      </c>
      <c r="D2148" t="s">
        <v>13</v>
      </c>
      <c r="E2148" t="s">
        <v>10</v>
      </c>
      <c r="F2148" t="str">
        <f t="shared" si="67"/>
        <v>Mobile</v>
      </c>
      <c r="G2148">
        <v>7</v>
      </c>
      <c r="H2148">
        <v>0</v>
      </c>
      <c r="I2148">
        <v>0</v>
      </c>
    </row>
    <row r="2149" spans="1:9">
      <c r="A2149" t="s">
        <v>2167</v>
      </c>
      <c r="B2149" t="s">
        <v>8</v>
      </c>
      <c r="C2149" t="str">
        <f t="shared" si="66"/>
        <v>A</v>
      </c>
      <c r="D2149" t="s">
        <v>20</v>
      </c>
      <c r="E2149" t="s">
        <v>10</v>
      </c>
      <c r="F2149" t="str">
        <f t="shared" si="67"/>
        <v>Mobile</v>
      </c>
      <c r="G2149">
        <v>3</v>
      </c>
      <c r="H2149">
        <v>0</v>
      </c>
      <c r="I2149">
        <v>0</v>
      </c>
    </row>
    <row r="2150" spans="1:9">
      <c r="A2150" t="s">
        <v>2168</v>
      </c>
      <c r="B2150" t="s">
        <v>15</v>
      </c>
      <c r="C2150" t="str">
        <f t="shared" si="66"/>
        <v>B</v>
      </c>
      <c r="D2150" t="s">
        <v>13</v>
      </c>
      <c r="E2150" t="s">
        <v>23</v>
      </c>
      <c r="F2150" t="str">
        <f t="shared" si="67"/>
        <v>Desktop</v>
      </c>
      <c r="G2150">
        <v>10</v>
      </c>
      <c r="H2150">
        <v>0</v>
      </c>
      <c r="I2150">
        <v>0</v>
      </c>
    </row>
    <row r="2151" spans="1:9">
      <c r="A2151" t="s">
        <v>2169</v>
      </c>
      <c r="B2151" t="s">
        <v>15</v>
      </c>
      <c r="C2151" t="str">
        <f t="shared" si="66"/>
        <v>B</v>
      </c>
      <c r="D2151" t="s">
        <v>13</v>
      </c>
      <c r="E2151" t="s">
        <v>23</v>
      </c>
      <c r="F2151" t="str">
        <f t="shared" si="67"/>
        <v>Desktop</v>
      </c>
      <c r="G2151">
        <v>4</v>
      </c>
      <c r="H2151">
        <v>0</v>
      </c>
      <c r="I2151">
        <v>0</v>
      </c>
    </row>
    <row r="2152" spans="1:9">
      <c r="A2152" t="s">
        <v>2170</v>
      </c>
      <c r="B2152" t="s">
        <v>15</v>
      </c>
      <c r="C2152" t="str">
        <f t="shared" si="66"/>
        <v>B</v>
      </c>
      <c r="D2152" t="s">
        <v>13</v>
      </c>
      <c r="E2152" t="s">
        <v>10</v>
      </c>
      <c r="F2152" t="str">
        <f t="shared" si="67"/>
        <v>Mobile</v>
      </c>
      <c r="G2152">
        <v>10</v>
      </c>
      <c r="H2152">
        <v>0</v>
      </c>
      <c r="I2152">
        <v>0</v>
      </c>
    </row>
    <row r="2153" spans="1:9">
      <c r="A2153" t="s">
        <v>2171</v>
      </c>
      <c r="B2153" t="s">
        <v>8</v>
      </c>
      <c r="C2153" t="str">
        <f t="shared" si="66"/>
        <v>A</v>
      </c>
      <c r="D2153" t="s">
        <v>13</v>
      </c>
      <c r="E2153" t="s">
        <v>23</v>
      </c>
      <c r="F2153" t="str">
        <f t="shared" si="67"/>
        <v>Desktop</v>
      </c>
      <c r="G2153">
        <v>2</v>
      </c>
      <c r="H2153">
        <v>0</v>
      </c>
      <c r="I2153">
        <v>0</v>
      </c>
    </row>
    <row r="2154" spans="1:9">
      <c r="A2154" t="s">
        <v>2172</v>
      </c>
      <c r="B2154" t="s">
        <v>15</v>
      </c>
      <c r="C2154" t="str">
        <f t="shared" si="66"/>
        <v>B</v>
      </c>
      <c r="D2154" t="s">
        <v>9</v>
      </c>
      <c r="E2154" t="s">
        <v>23</v>
      </c>
      <c r="F2154" t="str">
        <f t="shared" si="67"/>
        <v>Desktop</v>
      </c>
      <c r="G2154">
        <v>9</v>
      </c>
      <c r="H2154">
        <v>0</v>
      </c>
      <c r="I2154">
        <v>0</v>
      </c>
    </row>
    <row r="2155" spans="1:9">
      <c r="A2155" t="s">
        <v>2173</v>
      </c>
      <c r="B2155" t="s">
        <v>15</v>
      </c>
      <c r="C2155" t="str">
        <f t="shared" si="66"/>
        <v>B</v>
      </c>
      <c r="D2155" t="s">
        <v>9</v>
      </c>
      <c r="E2155" t="s">
        <v>23</v>
      </c>
      <c r="F2155" t="str">
        <f t="shared" si="67"/>
        <v>Desktop</v>
      </c>
      <c r="G2155">
        <v>4</v>
      </c>
      <c r="H2155">
        <v>0</v>
      </c>
      <c r="I2155">
        <v>0</v>
      </c>
    </row>
    <row r="2156" spans="1:9">
      <c r="A2156" t="s">
        <v>2174</v>
      </c>
      <c r="B2156" t="s">
        <v>29</v>
      </c>
      <c r="C2156" t="str">
        <f t="shared" si="66"/>
        <v>B</v>
      </c>
      <c r="D2156" t="s">
        <v>13</v>
      </c>
      <c r="E2156" t="s">
        <v>10</v>
      </c>
      <c r="F2156" t="str">
        <f t="shared" si="67"/>
        <v>Mobile</v>
      </c>
      <c r="G2156">
        <v>6</v>
      </c>
      <c r="H2156">
        <v>1</v>
      </c>
      <c r="I2156">
        <v>1311.39</v>
      </c>
    </row>
    <row r="2157" spans="1:9">
      <c r="A2157" t="s">
        <v>2175</v>
      </c>
      <c r="B2157" t="s">
        <v>15</v>
      </c>
      <c r="C2157" t="str">
        <f t="shared" si="66"/>
        <v>B</v>
      </c>
      <c r="D2157" t="s">
        <v>20</v>
      </c>
      <c r="E2157" t="s">
        <v>16</v>
      </c>
      <c r="F2157" t="str">
        <f t="shared" si="67"/>
        <v>Mobile</v>
      </c>
      <c r="G2157">
        <v>9</v>
      </c>
      <c r="H2157">
        <v>0</v>
      </c>
      <c r="I2157">
        <v>0</v>
      </c>
    </row>
    <row r="2158" spans="1:9">
      <c r="A2158" t="s">
        <v>2176</v>
      </c>
      <c r="B2158" t="s">
        <v>8</v>
      </c>
      <c r="C2158" t="str">
        <f t="shared" si="66"/>
        <v>A</v>
      </c>
      <c r="D2158" t="s">
        <v>9</v>
      </c>
      <c r="E2158" t="s">
        <v>10</v>
      </c>
      <c r="F2158" t="str">
        <f t="shared" si="67"/>
        <v>Mobile</v>
      </c>
      <c r="G2158">
        <v>3</v>
      </c>
      <c r="H2158">
        <v>1</v>
      </c>
      <c r="I2158">
        <v>5273.48</v>
      </c>
    </row>
    <row r="2159" spans="1:9">
      <c r="A2159" t="s">
        <v>2177</v>
      </c>
      <c r="B2159" t="s">
        <v>15</v>
      </c>
      <c r="C2159" t="str">
        <f t="shared" si="66"/>
        <v>B</v>
      </c>
      <c r="D2159" t="s">
        <v>13</v>
      </c>
      <c r="E2159" t="s">
        <v>10</v>
      </c>
      <c r="F2159" t="str">
        <f t="shared" si="67"/>
        <v>Mobile</v>
      </c>
      <c r="G2159">
        <v>8</v>
      </c>
      <c r="H2159">
        <v>0</v>
      </c>
      <c r="I2159">
        <v>0</v>
      </c>
    </row>
    <row r="2160" spans="1:9">
      <c r="A2160" t="s">
        <v>2178</v>
      </c>
      <c r="B2160" t="s">
        <v>8</v>
      </c>
      <c r="C2160" t="str">
        <f t="shared" si="66"/>
        <v>A</v>
      </c>
      <c r="D2160" t="s">
        <v>13</v>
      </c>
      <c r="E2160" t="s">
        <v>10</v>
      </c>
      <c r="F2160" t="str">
        <f t="shared" si="67"/>
        <v>Mobile</v>
      </c>
      <c r="G2160">
        <v>5</v>
      </c>
      <c r="H2160">
        <v>0</v>
      </c>
      <c r="I2160">
        <v>0</v>
      </c>
    </row>
    <row r="2161" spans="1:9">
      <c r="A2161" t="s">
        <v>2179</v>
      </c>
      <c r="B2161" t="s">
        <v>15</v>
      </c>
      <c r="C2161" t="str">
        <f t="shared" si="66"/>
        <v>B</v>
      </c>
      <c r="D2161" t="s">
        <v>20</v>
      </c>
      <c r="E2161" t="s">
        <v>10</v>
      </c>
      <c r="F2161" t="str">
        <f t="shared" si="67"/>
        <v>Mobile</v>
      </c>
      <c r="G2161">
        <v>6</v>
      </c>
      <c r="H2161">
        <v>0</v>
      </c>
      <c r="I2161">
        <v>0</v>
      </c>
    </row>
    <row r="2162" spans="1:9">
      <c r="A2162" t="s">
        <v>2180</v>
      </c>
      <c r="B2162" t="s">
        <v>8</v>
      </c>
      <c r="C2162" t="str">
        <f t="shared" si="66"/>
        <v>A</v>
      </c>
      <c r="D2162" t="s">
        <v>9</v>
      </c>
      <c r="E2162" t="s">
        <v>16</v>
      </c>
      <c r="F2162" t="str">
        <f t="shared" si="67"/>
        <v>Mobile</v>
      </c>
      <c r="G2162">
        <v>5</v>
      </c>
      <c r="H2162">
        <v>0</v>
      </c>
      <c r="I2162">
        <v>0</v>
      </c>
    </row>
    <row r="2163" spans="1:9">
      <c r="A2163" t="s">
        <v>2181</v>
      </c>
      <c r="B2163" t="s">
        <v>8</v>
      </c>
      <c r="C2163" t="str">
        <f t="shared" si="66"/>
        <v>A</v>
      </c>
      <c r="D2163" t="s">
        <v>13</v>
      </c>
      <c r="E2163" t="s">
        <v>10</v>
      </c>
      <c r="F2163" t="str">
        <f t="shared" si="67"/>
        <v>Mobile</v>
      </c>
      <c r="G2163">
        <v>9</v>
      </c>
      <c r="H2163">
        <v>0</v>
      </c>
      <c r="I2163">
        <v>0</v>
      </c>
    </row>
    <row r="2164" spans="1:9">
      <c r="A2164" t="s">
        <v>2182</v>
      </c>
      <c r="B2164" t="s">
        <v>15</v>
      </c>
      <c r="C2164" t="str">
        <f t="shared" si="66"/>
        <v>B</v>
      </c>
      <c r="D2164" t="s">
        <v>20</v>
      </c>
      <c r="E2164" t="s">
        <v>23</v>
      </c>
      <c r="F2164" t="str">
        <f t="shared" si="67"/>
        <v>Desktop</v>
      </c>
      <c r="G2164">
        <v>12</v>
      </c>
      <c r="H2164">
        <v>1</v>
      </c>
      <c r="I2164">
        <v>1855.02</v>
      </c>
    </row>
    <row r="2165" spans="1:9">
      <c r="A2165" t="s">
        <v>2183</v>
      </c>
      <c r="B2165" t="s">
        <v>8</v>
      </c>
      <c r="C2165" t="str">
        <f t="shared" si="66"/>
        <v>A</v>
      </c>
      <c r="D2165" t="s">
        <v>20</v>
      </c>
      <c r="E2165" t="s">
        <v>10</v>
      </c>
      <c r="F2165" t="str">
        <f t="shared" si="67"/>
        <v>Mobile</v>
      </c>
      <c r="G2165">
        <v>7</v>
      </c>
      <c r="H2165">
        <v>0</v>
      </c>
      <c r="I2165">
        <v>0</v>
      </c>
    </row>
    <row r="2166" spans="1:9">
      <c r="A2166" t="s">
        <v>2184</v>
      </c>
      <c r="B2166" t="s">
        <v>15</v>
      </c>
      <c r="C2166" t="str">
        <f t="shared" si="66"/>
        <v>B</v>
      </c>
      <c r="D2166" t="s">
        <v>9</v>
      </c>
      <c r="E2166" t="s">
        <v>10</v>
      </c>
      <c r="F2166" t="str">
        <f t="shared" si="67"/>
        <v>Mobile</v>
      </c>
      <c r="G2166">
        <v>2</v>
      </c>
      <c r="H2166">
        <v>0</v>
      </c>
      <c r="I2166">
        <v>0</v>
      </c>
    </row>
    <row r="2167" spans="1:9">
      <c r="A2167" t="s">
        <v>2185</v>
      </c>
      <c r="B2167" t="s">
        <v>8</v>
      </c>
      <c r="C2167" t="str">
        <f t="shared" si="66"/>
        <v>A</v>
      </c>
      <c r="D2167" t="s">
        <v>20</v>
      </c>
      <c r="E2167" t="s">
        <v>83</v>
      </c>
      <c r="F2167" t="str">
        <f t="shared" si="67"/>
        <v>Tablet</v>
      </c>
      <c r="G2167">
        <v>9</v>
      </c>
      <c r="H2167">
        <v>0</v>
      </c>
      <c r="I2167">
        <v>0</v>
      </c>
    </row>
    <row r="2168" spans="1:9">
      <c r="A2168" t="s">
        <v>2186</v>
      </c>
      <c r="B2168" t="s">
        <v>15</v>
      </c>
      <c r="C2168" t="str">
        <f t="shared" si="66"/>
        <v>B</v>
      </c>
      <c r="D2168" t="s">
        <v>18</v>
      </c>
      <c r="E2168" t="s">
        <v>23</v>
      </c>
      <c r="F2168" t="str">
        <f t="shared" si="67"/>
        <v>Desktop</v>
      </c>
      <c r="G2168">
        <v>5</v>
      </c>
      <c r="H2168">
        <v>0</v>
      </c>
      <c r="I2168">
        <v>0</v>
      </c>
    </row>
    <row r="2169" spans="1:9">
      <c r="A2169" t="s">
        <v>2187</v>
      </c>
      <c r="B2169" t="s">
        <v>15</v>
      </c>
      <c r="C2169" t="str">
        <f t="shared" si="66"/>
        <v>B</v>
      </c>
      <c r="D2169" t="s">
        <v>13</v>
      </c>
      <c r="E2169" t="s">
        <v>10</v>
      </c>
      <c r="F2169" t="str">
        <f t="shared" si="67"/>
        <v>Mobile</v>
      </c>
      <c r="G2169">
        <v>9</v>
      </c>
      <c r="H2169">
        <v>0</v>
      </c>
      <c r="I2169">
        <v>0</v>
      </c>
    </row>
    <row r="2170" spans="1:9">
      <c r="A2170" t="s">
        <v>2188</v>
      </c>
      <c r="B2170" t="s">
        <v>15</v>
      </c>
      <c r="C2170" t="str">
        <f t="shared" si="66"/>
        <v>B</v>
      </c>
      <c r="D2170" t="s">
        <v>13</v>
      </c>
      <c r="E2170" t="s">
        <v>10</v>
      </c>
      <c r="F2170" t="str">
        <f t="shared" si="67"/>
        <v>Mobile</v>
      </c>
      <c r="G2170">
        <v>6</v>
      </c>
      <c r="H2170">
        <v>1</v>
      </c>
      <c r="I2170">
        <v>2696.06</v>
      </c>
    </row>
    <row r="2171" spans="1:9">
      <c r="A2171" t="s">
        <v>2189</v>
      </c>
      <c r="B2171" t="s">
        <v>8</v>
      </c>
      <c r="C2171" t="str">
        <f t="shared" si="66"/>
        <v>A</v>
      </c>
      <c r="D2171" t="s">
        <v>20</v>
      </c>
      <c r="E2171" t="s">
        <v>10</v>
      </c>
      <c r="F2171" t="str">
        <f t="shared" si="67"/>
        <v>Mobile</v>
      </c>
      <c r="G2171">
        <v>7</v>
      </c>
      <c r="H2171">
        <v>0</v>
      </c>
      <c r="I2171">
        <v>0</v>
      </c>
    </row>
    <row r="2172" spans="1:9">
      <c r="A2172" t="s">
        <v>2190</v>
      </c>
      <c r="B2172" t="s">
        <v>8</v>
      </c>
      <c r="C2172" t="str">
        <f t="shared" si="66"/>
        <v>A</v>
      </c>
      <c r="D2172" t="s">
        <v>20</v>
      </c>
      <c r="E2172" t="s">
        <v>10</v>
      </c>
      <c r="F2172" t="str">
        <f t="shared" si="67"/>
        <v>Mobile</v>
      </c>
      <c r="G2172">
        <v>7</v>
      </c>
      <c r="H2172">
        <v>0</v>
      </c>
      <c r="I2172">
        <v>0</v>
      </c>
    </row>
    <row r="2173" spans="1:9">
      <c r="A2173" t="s">
        <v>2191</v>
      </c>
      <c r="B2173" t="s">
        <v>8</v>
      </c>
      <c r="C2173" t="str">
        <f t="shared" si="66"/>
        <v>A</v>
      </c>
      <c r="D2173" t="s">
        <v>18</v>
      </c>
      <c r="E2173" t="s">
        <v>23</v>
      </c>
      <c r="F2173" t="str">
        <f t="shared" si="67"/>
        <v>Desktop</v>
      </c>
      <c r="G2173">
        <v>7</v>
      </c>
      <c r="H2173">
        <v>0</v>
      </c>
      <c r="I2173">
        <v>0</v>
      </c>
    </row>
    <row r="2174" spans="1:9">
      <c r="A2174" t="s">
        <v>2192</v>
      </c>
      <c r="B2174" t="s">
        <v>8</v>
      </c>
      <c r="C2174" t="str">
        <f t="shared" si="66"/>
        <v>A</v>
      </c>
      <c r="D2174" t="s">
        <v>20</v>
      </c>
      <c r="E2174" t="s">
        <v>23</v>
      </c>
      <c r="F2174" t="str">
        <f t="shared" si="67"/>
        <v>Desktop</v>
      </c>
      <c r="G2174">
        <v>3</v>
      </c>
      <c r="H2174">
        <v>0</v>
      </c>
      <c r="I2174">
        <v>0</v>
      </c>
    </row>
    <row r="2175" spans="1:9">
      <c r="A2175" t="s">
        <v>2193</v>
      </c>
      <c r="B2175" t="s">
        <v>15</v>
      </c>
      <c r="C2175" t="str">
        <f t="shared" si="66"/>
        <v>B</v>
      </c>
      <c r="D2175" t="s">
        <v>9</v>
      </c>
      <c r="E2175" t="s">
        <v>10</v>
      </c>
      <c r="F2175" t="str">
        <f t="shared" si="67"/>
        <v>Mobile</v>
      </c>
      <c r="G2175">
        <v>5</v>
      </c>
      <c r="H2175">
        <v>1</v>
      </c>
      <c r="I2175">
        <v>6141.13</v>
      </c>
    </row>
    <row r="2176" spans="1:9">
      <c r="A2176" t="s">
        <v>2194</v>
      </c>
      <c r="B2176" t="s">
        <v>12</v>
      </c>
      <c r="C2176" t="str">
        <f t="shared" si="66"/>
        <v>A</v>
      </c>
      <c r="D2176" t="s">
        <v>20</v>
      </c>
      <c r="E2176" t="s">
        <v>33</v>
      </c>
      <c r="F2176" t="str">
        <f t="shared" si="67"/>
        <v>Desktop</v>
      </c>
      <c r="G2176">
        <v>6</v>
      </c>
      <c r="H2176">
        <v>0</v>
      </c>
      <c r="I2176">
        <v>0</v>
      </c>
    </row>
    <row r="2177" spans="1:9">
      <c r="A2177" t="s">
        <v>2195</v>
      </c>
      <c r="B2177" t="s">
        <v>15</v>
      </c>
      <c r="C2177" t="str">
        <f t="shared" si="66"/>
        <v>B</v>
      </c>
      <c r="D2177" t="s">
        <v>20</v>
      </c>
      <c r="E2177" t="s">
        <v>23</v>
      </c>
      <c r="F2177" t="str">
        <f t="shared" si="67"/>
        <v>Desktop</v>
      </c>
      <c r="G2177">
        <v>11</v>
      </c>
      <c r="H2177">
        <v>0</v>
      </c>
      <c r="I2177">
        <v>0</v>
      </c>
    </row>
    <row r="2178" spans="1:9">
      <c r="A2178" t="s">
        <v>2196</v>
      </c>
      <c r="B2178" t="s">
        <v>15</v>
      </c>
      <c r="C2178" t="str">
        <f t="shared" ref="C2178:C2241" si="68">IF(OR(B2178="control", B2178="A"), "A", "B")</f>
        <v>B</v>
      </c>
      <c r="D2178" t="s">
        <v>20</v>
      </c>
      <c r="E2178" t="s">
        <v>10</v>
      </c>
      <c r="F2178" t="str">
        <f t="shared" ref="F2178:F2241" si="69">PROPER(E2178)</f>
        <v>Mobile</v>
      </c>
      <c r="G2178">
        <v>5</v>
      </c>
      <c r="H2178">
        <v>0</v>
      </c>
      <c r="I2178">
        <v>0</v>
      </c>
    </row>
    <row r="2179" spans="1:9">
      <c r="A2179" t="s">
        <v>2197</v>
      </c>
      <c r="B2179" t="s">
        <v>15</v>
      </c>
      <c r="C2179" t="str">
        <f t="shared" si="68"/>
        <v>B</v>
      </c>
      <c r="D2179" t="s">
        <v>13</v>
      </c>
      <c r="E2179" t="s">
        <v>10</v>
      </c>
      <c r="F2179" t="str">
        <f t="shared" si="69"/>
        <v>Mobile</v>
      </c>
      <c r="G2179">
        <v>1</v>
      </c>
      <c r="H2179">
        <v>0</v>
      </c>
      <c r="I2179">
        <v>0</v>
      </c>
    </row>
    <row r="2180" spans="1:9">
      <c r="A2180" t="s">
        <v>2198</v>
      </c>
      <c r="B2180" t="s">
        <v>15</v>
      </c>
      <c r="C2180" t="str">
        <f t="shared" si="68"/>
        <v>B</v>
      </c>
      <c r="D2180" t="s">
        <v>18</v>
      </c>
      <c r="E2180" t="s">
        <v>23</v>
      </c>
      <c r="F2180" t="str">
        <f t="shared" si="69"/>
        <v>Desktop</v>
      </c>
      <c r="G2180">
        <v>4</v>
      </c>
      <c r="H2180">
        <v>0</v>
      </c>
      <c r="I2180">
        <v>0</v>
      </c>
    </row>
    <row r="2181" spans="1:9">
      <c r="A2181" t="s">
        <v>2199</v>
      </c>
      <c r="B2181" t="s">
        <v>8</v>
      </c>
      <c r="C2181" t="str">
        <f t="shared" si="68"/>
        <v>A</v>
      </c>
      <c r="D2181" t="s">
        <v>20</v>
      </c>
      <c r="E2181" t="s">
        <v>23</v>
      </c>
      <c r="F2181" t="str">
        <f t="shared" si="69"/>
        <v>Desktop</v>
      </c>
      <c r="G2181">
        <v>6</v>
      </c>
      <c r="H2181">
        <v>0</v>
      </c>
      <c r="I2181">
        <v>0</v>
      </c>
    </row>
    <row r="2182" spans="1:9">
      <c r="A2182" t="s">
        <v>2200</v>
      </c>
      <c r="B2182" t="s">
        <v>15</v>
      </c>
      <c r="C2182" t="str">
        <f t="shared" si="68"/>
        <v>B</v>
      </c>
      <c r="D2182" t="s">
        <v>20</v>
      </c>
      <c r="E2182" t="s">
        <v>10</v>
      </c>
      <c r="F2182" t="str">
        <f t="shared" si="69"/>
        <v>Mobile</v>
      </c>
      <c r="G2182">
        <v>7</v>
      </c>
      <c r="H2182">
        <v>0</v>
      </c>
      <c r="I2182">
        <v>0</v>
      </c>
    </row>
    <row r="2183" spans="1:9">
      <c r="A2183" t="s">
        <v>2201</v>
      </c>
      <c r="B2183" t="s">
        <v>15</v>
      </c>
      <c r="C2183" t="str">
        <f t="shared" si="68"/>
        <v>B</v>
      </c>
      <c r="D2183" t="s">
        <v>20</v>
      </c>
      <c r="E2183" t="s">
        <v>10</v>
      </c>
      <c r="F2183" t="str">
        <f t="shared" si="69"/>
        <v>Mobile</v>
      </c>
      <c r="G2183">
        <v>5</v>
      </c>
      <c r="H2183">
        <v>0</v>
      </c>
      <c r="I2183">
        <v>0</v>
      </c>
    </row>
    <row r="2184" spans="1:9">
      <c r="A2184" t="s">
        <v>2202</v>
      </c>
      <c r="B2184" t="s">
        <v>15</v>
      </c>
      <c r="C2184" t="str">
        <f t="shared" si="68"/>
        <v>B</v>
      </c>
      <c r="D2184" t="s">
        <v>13</v>
      </c>
      <c r="E2184" t="s">
        <v>10</v>
      </c>
      <c r="F2184" t="str">
        <f t="shared" si="69"/>
        <v>Mobile</v>
      </c>
      <c r="G2184">
        <v>5</v>
      </c>
      <c r="H2184">
        <v>0</v>
      </c>
      <c r="I2184">
        <v>0</v>
      </c>
    </row>
    <row r="2185" spans="1:9">
      <c r="A2185" t="s">
        <v>2203</v>
      </c>
      <c r="B2185" t="s">
        <v>8</v>
      </c>
      <c r="C2185" t="str">
        <f t="shared" si="68"/>
        <v>A</v>
      </c>
      <c r="D2185" t="s">
        <v>13</v>
      </c>
      <c r="E2185" t="s">
        <v>23</v>
      </c>
      <c r="F2185" t="str">
        <f t="shared" si="69"/>
        <v>Desktop</v>
      </c>
      <c r="G2185">
        <v>3</v>
      </c>
      <c r="H2185">
        <v>0</v>
      </c>
      <c r="I2185">
        <v>0</v>
      </c>
    </row>
    <row r="2186" spans="1:9">
      <c r="A2186" t="s">
        <v>2204</v>
      </c>
      <c r="B2186" t="s">
        <v>8</v>
      </c>
      <c r="C2186" t="str">
        <f t="shared" si="68"/>
        <v>A</v>
      </c>
      <c r="D2186" t="s">
        <v>9</v>
      </c>
      <c r="E2186" t="s">
        <v>23</v>
      </c>
      <c r="F2186" t="str">
        <f t="shared" si="69"/>
        <v>Desktop</v>
      </c>
      <c r="G2186">
        <v>3</v>
      </c>
      <c r="H2186">
        <v>0</v>
      </c>
      <c r="I2186">
        <v>0</v>
      </c>
    </row>
    <row r="2187" spans="1:9">
      <c r="A2187" t="s">
        <v>2205</v>
      </c>
      <c r="B2187" t="s">
        <v>15</v>
      </c>
      <c r="C2187" t="str">
        <f t="shared" si="68"/>
        <v>B</v>
      </c>
      <c r="D2187" t="s">
        <v>13</v>
      </c>
      <c r="E2187" t="s">
        <v>10</v>
      </c>
      <c r="F2187" t="str">
        <f t="shared" si="69"/>
        <v>Mobile</v>
      </c>
      <c r="G2187">
        <v>5</v>
      </c>
      <c r="H2187">
        <v>0</v>
      </c>
      <c r="I2187">
        <v>0</v>
      </c>
    </row>
    <row r="2188" spans="1:9">
      <c r="A2188" t="s">
        <v>2206</v>
      </c>
      <c r="B2188" t="s">
        <v>15</v>
      </c>
      <c r="C2188" t="str">
        <f t="shared" si="68"/>
        <v>B</v>
      </c>
      <c r="D2188" t="s">
        <v>13</v>
      </c>
      <c r="E2188" t="s">
        <v>23</v>
      </c>
      <c r="F2188" t="str">
        <f t="shared" si="69"/>
        <v>Desktop</v>
      </c>
      <c r="G2188">
        <v>9</v>
      </c>
      <c r="H2188">
        <v>0</v>
      </c>
      <c r="I2188">
        <v>0</v>
      </c>
    </row>
    <row r="2189" spans="1:9">
      <c r="A2189" t="s">
        <v>2207</v>
      </c>
      <c r="B2189" t="s">
        <v>15</v>
      </c>
      <c r="C2189" t="str">
        <f t="shared" si="68"/>
        <v>B</v>
      </c>
      <c r="D2189" t="s">
        <v>20</v>
      </c>
      <c r="E2189" t="s">
        <v>33</v>
      </c>
      <c r="F2189" t="str">
        <f t="shared" si="69"/>
        <v>Desktop</v>
      </c>
      <c r="G2189">
        <v>8</v>
      </c>
      <c r="H2189">
        <v>1</v>
      </c>
      <c r="I2189">
        <v>1533.35</v>
      </c>
    </row>
    <row r="2190" spans="1:9">
      <c r="A2190" t="s">
        <v>2208</v>
      </c>
      <c r="B2190" t="s">
        <v>8</v>
      </c>
      <c r="C2190" t="str">
        <f t="shared" si="68"/>
        <v>A</v>
      </c>
      <c r="D2190" t="s">
        <v>18</v>
      </c>
      <c r="E2190" t="s">
        <v>33</v>
      </c>
      <c r="F2190" t="str">
        <f t="shared" si="69"/>
        <v>Desktop</v>
      </c>
      <c r="G2190">
        <v>5</v>
      </c>
      <c r="H2190">
        <v>0</v>
      </c>
      <c r="I2190">
        <v>0</v>
      </c>
    </row>
    <row r="2191" spans="1:9">
      <c r="A2191" t="s">
        <v>2209</v>
      </c>
      <c r="B2191" t="s">
        <v>29</v>
      </c>
      <c r="C2191" t="str">
        <f t="shared" si="68"/>
        <v>B</v>
      </c>
      <c r="D2191" t="s">
        <v>20</v>
      </c>
      <c r="E2191" t="s">
        <v>10</v>
      </c>
      <c r="F2191" t="str">
        <f t="shared" si="69"/>
        <v>Mobile</v>
      </c>
      <c r="G2191">
        <v>3</v>
      </c>
      <c r="H2191">
        <v>0</v>
      </c>
      <c r="I2191">
        <v>0</v>
      </c>
    </row>
    <row r="2192" spans="1:9">
      <c r="A2192" t="s">
        <v>2210</v>
      </c>
      <c r="B2192" t="s">
        <v>8</v>
      </c>
      <c r="C2192" t="str">
        <f t="shared" si="68"/>
        <v>A</v>
      </c>
      <c r="D2192" t="s">
        <v>20</v>
      </c>
      <c r="E2192" t="s">
        <v>10</v>
      </c>
      <c r="F2192" t="str">
        <f t="shared" si="69"/>
        <v>Mobile</v>
      </c>
      <c r="G2192">
        <v>8</v>
      </c>
      <c r="H2192">
        <v>0</v>
      </c>
      <c r="I2192">
        <v>0</v>
      </c>
    </row>
    <row r="2193" spans="1:9">
      <c r="A2193" t="s">
        <v>2211</v>
      </c>
      <c r="B2193" t="s">
        <v>8</v>
      </c>
      <c r="C2193" t="str">
        <f t="shared" si="68"/>
        <v>A</v>
      </c>
      <c r="D2193" t="s">
        <v>13</v>
      </c>
      <c r="E2193" t="s">
        <v>10</v>
      </c>
      <c r="F2193" t="str">
        <f t="shared" si="69"/>
        <v>Mobile</v>
      </c>
      <c r="G2193">
        <v>8</v>
      </c>
      <c r="H2193">
        <v>0</v>
      </c>
      <c r="I2193">
        <v>0</v>
      </c>
    </row>
    <row r="2194" spans="1:9">
      <c r="A2194" t="s">
        <v>2212</v>
      </c>
      <c r="B2194" t="s">
        <v>8</v>
      </c>
      <c r="C2194" t="str">
        <f t="shared" si="68"/>
        <v>A</v>
      </c>
      <c r="D2194" t="s">
        <v>13</v>
      </c>
      <c r="E2194" t="s">
        <v>10</v>
      </c>
      <c r="F2194" t="str">
        <f t="shared" si="69"/>
        <v>Mobile</v>
      </c>
      <c r="G2194">
        <v>5</v>
      </c>
      <c r="H2194">
        <v>0</v>
      </c>
      <c r="I2194">
        <v>0</v>
      </c>
    </row>
    <row r="2195" spans="1:9">
      <c r="A2195" t="s">
        <v>2213</v>
      </c>
      <c r="B2195" t="s">
        <v>15</v>
      </c>
      <c r="C2195" t="str">
        <f t="shared" si="68"/>
        <v>B</v>
      </c>
      <c r="D2195" t="s">
        <v>20</v>
      </c>
      <c r="E2195" t="s">
        <v>33</v>
      </c>
      <c r="F2195" t="str">
        <f t="shared" si="69"/>
        <v>Desktop</v>
      </c>
      <c r="G2195">
        <v>4</v>
      </c>
      <c r="H2195">
        <v>0</v>
      </c>
      <c r="I2195">
        <v>0</v>
      </c>
    </row>
    <row r="2196" spans="1:9">
      <c r="A2196" t="s">
        <v>2214</v>
      </c>
      <c r="B2196" t="s">
        <v>15</v>
      </c>
      <c r="C2196" t="str">
        <f t="shared" si="68"/>
        <v>B</v>
      </c>
      <c r="D2196" t="s">
        <v>13</v>
      </c>
      <c r="E2196" t="s">
        <v>10</v>
      </c>
      <c r="F2196" t="str">
        <f t="shared" si="69"/>
        <v>Mobile</v>
      </c>
      <c r="G2196">
        <v>7</v>
      </c>
      <c r="H2196">
        <v>0</v>
      </c>
      <c r="I2196">
        <v>0</v>
      </c>
    </row>
    <row r="2197" spans="1:9">
      <c r="A2197" t="s">
        <v>2215</v>
      </c>
      <c r="B2197" t="s">
        <v>8</v>
      </c>
      <c r="C2197" t="str">
        <f t="shared" si="68"/>
        <v>A</v>
      </c>
      <c r="D2197" t="s">
        <v>9</v>
      </c>
      <c r="E2197" t="s">
        <v>10</v>
      </c>
      <c r="F2197" t="str">
        <f t="shared" si="69"/>
        <v>Mobile</v>
      </c>
      <c r="G2197">
        <v>8</v>
      </c>
      <c r="H2197">
        <v>1</v>
      </c>
      <c r="I2197">
        <v>4231.95</v>
      </c>
    </row>
    <row r="2198" spans="1:9">
      <c r="A2198" t="s">
        <v>2216</v>
      </c>
      <c r="B2198" t="s">
        <v>15</v>
      </c>
      <c r="C2198" t="str">
        <f t="shared" si="68"/>
        <v>B</v>
      </c>
      <c r="D2198" t="s">
        <v>20</v>
      </c>
      <c r="E2198" t="s">
        <v>10</v>
      </c>
      <c r="F2198" t="str">
        <f t="shared" si="69"/>
        <v>Mobile</v>
      </c>
      <c r="G2198">
        <v>8</v>
      </c>
      <c r="H2198">
        <v>1</v>
      </c>
      <c r="I2198">
        <v>1509.19</v>
      </c>
    </row>
    <row r="2199" spans="1:9">
      <c r="A2199" t="s">
        <v>2217</v>
      </c>
      <c r="B2199" t="s">
        <v>8</v>
      </c>
      <c r="C2199" t="str">
        <f t="shared" si="68"/>
        <v>A</v>
      </c>
      <c r="D2199" t="s">
        <v>9</v>
      </c>
      <c r="E2199" t="s">
        <v>10</v>
      </c>
      <c r="F2199" t="str">
        <f t="shared" si="69"/>
        <v>Mobile</v>
      </c>
      <c r="G2199">
        <v>1</v>
      </c>
      <c r="H2199">
        <v>0</v>
      </c>
      <c r="I2199">
        <v>0</v>
      </c>
    </row>
    <row r="2200" spans="1:9">
      <c r="A2200" t="s">
        <v>2218</v>
      </c>
      <c r="B2200" t="s">
        <v>15</v>
      </c>
      <c r="C2200" t="str">
        <f t="shared" si="68"/>
        <v>B</v>
      </c>
      <c r="D2200" t="s">
        <v>13</v>
      </c>
      <c r="E2200" t="s">
        <v>23</v>
      </c>
      <c r="F2200" t="str">
        <f t="shared" si="69"/>
        <v>Desktop</v>
      </c>
      <c r="G2200">
        <v>6</v>
      </c>
      <c r="H2200">
        <v>0</v>
      </c>
      <c r="I2200">
        <v>0</v>
      </c>
    </row>
    <row r="2201" spans="1:9">
      <c r="A2201" t="s">
        <v>2219</v>
      </c>
      <c r="B2201" t="s">
        <v>15</v>
      </c>
      <c r="C2201" t="str">
        <f t="shared" si="68"/>
        <v>B</v>
      </c>
      <c r="D2201" t="s">
        <v>20</v>
      </c>
      <c r="E2201" t="s">
        <v>10</v>
      </c>
      <c r="F2201" t="str">
        <f t="shared" si="69"/>
        <v>Mobile</v>
      </c>
      <c r="G2201">
        <v>5</v>
      </c>
      <c r="H2201">
        <v>0</v>
      </c>
      <c r="I2201">
        <v>0</v>
      </c>
    </row>
    <row r="2202" spans="1:9">
      <c r="A2202" t="s">
        <v>2220</v>
      </c>
      <c r="B2202" t="s">
        <v>15</v>
      </c>
      <c r="C2202" t="str">
        <f t="shared" si="68"/>
        <v>B</v>
      </c>
      <c r="D2202" t="s">
        <v>13</v>
      </c>
      <c r="E2202" t="s">
        <v>10</v>
      </c>
      <c r="F2202" t="str">
        <f t="shared" si="69"/>
        <v>Mobile</v>
      </c>
      <c r="G2202">
        <v>8</v>
      </c>
      <c r="H2202">
        <v>0</v>
      </c>
      <c r="I2202">
        <v>0</v>
      </c>
    </row>
    <row r="2203" spans="1:9">
      <c r="A2203" t="s">
        <v>2221</v>
      </c>
      <c r="B2203" t="s">
        <v>8</v>
      </c>
      <c r="C2203" t="str">
        <f t="shared" si="68"/>
        <v>A</v>
      </c>
      <c r="D2203" t="s">
        <v>20</v>
      </c>
      <c r="E2203" t="s">
        <v>10</v>
      </c>
      <c r="F2203" t="str">
        <f t="shared" si="69"/>
        <v>Mobile</v>
      </c>
      <c r="G2203">
        <v>11</v>
      </c>
      <c r="H2203">
        <v>0</v>
      </c>
      <c r="I2203">
        <v>0</v>
      </c>
    </row>
    <row r="2204" spans="1:9">
      <c r="A2204" t="s">
        <v>2222</v>
      </c>
      <c r="B2204" t="s">
        <v>29</v>
      </c>
      <c r="C2204" t="str">
        <f t="shared" si="68"/>
        <v>B</v>
      </c>
      <c r="D2204" t="s">
        <v>13</v>
      </c>
      <c r="E2204" t="s">
        <v>10</v>
      </c>
      <c r="F2204" t="str">
        <f t="shared" si="69"/>
        <v>Mobile</v>
      </c>
      <c r="G2204">
        <v>9</v>
      </c>
      <c r="H2204">
        <v>0</v>
      </c>
      <c r="I2204">
        <v>0</v>
      </c>
    </row>
    <row r="2205" spans="1:9">
      <c r="A2205" t="s">
        <v>2223</v>
      </c>
      <c r="B2205" t="s">
        <v>15</v>
      </c>
      <c r="C2205" t="str">
        <f t="shared" si="68"/>
        <v>B</v>
      </c>
      <c r="D2205" t="s">
        <v>13</v>
      </c>
      <c r="E2205" t="s">
        <v>10</v>
      </c>
      <c r="F2205" t="str">
        <f t="shared" si="69"/>
        <v>Mobile</v>
      </c>
      <c r="G2205">
        <v>10</v>
      </c>
      <c r="H2205">
        <v>0</v>
      </c>
      <c r="I2205">
        <v>0</v>
      </c>
    </row>
    <row r="2206" spans="1:9">
      <c r="A2206" t="s">
        <v>2224</v>
      </c>
      <c r="B2206" t="s">
        <v>8</v>
      </c>
      <c r="C2206" t="str">
        <f t="shared" si="68"/>
        <v>A</v>
      </c>
      <c r="D2206" t="s">
        <v>20</v>
      </c>
      <c r="E2206" t="s">
        <v>23</v>
      </c>
      <c r="F2206" t="str">
        <f t="shared" si="69"/>
        <v>Desktop</v>
      </c>
      <c r="G2206">
        <v>4</v>
      </c>
      <c r="H2206">
        <v>0</v>
      </c>
      <c r="I2206">
        <v>0</v>
      </c>
    </row>
    <row r="2207" spans="1:9">
      <c r="A2207" t="s">
        <v>2225</v>
      </c>
      <c r="B2207" t="s">
        <v>15</v>
      </c>
      <c r="C2207" t="str">
        <f t="shared" si="68"/>
        <v>B</v>
      </c>
      <c r="D2207" t="s">
        <v>13</v>
      </c>
      <c r="E2207" t="s">
        <v>23</v>
      </c>
      <c r="F2207" t="str">
        <f t="shared" si="69"/>
        <v>Desktop</v>
      </c>
      <c r="G2207">
        <v>3</v>
      </c>
      <c r="H2207">
        <v>0</v>
      </c>
      <c r="I2207">
        <v>0</v>
      </c>
    </row>
    <row r="2208" spans="1:9">
      <c r="A2208" t="s">
        <v>2226</v>
      </c>
      <c r="B2208" t="s">
        <v>8</v>
      </c>
      <c r="C2208" t="str">
        <f t="shared" si="68"/>
        <v>A</v>
      </c>
      <c r="D2208" t="s">
        <v>18</v>
      </c>
      <c r="E2208" t="s">
        <v>23</v>
      </c>
      <c r="F2208" t="str">
        <f t="shared" si="69"/>
        <v>Desktop</v>
      </c>
      <c r="G2208">
        <v>5</v>
      </c>
      <c r="H2208">
        <v>1</v>
      </c>
      <c r="I2208">
        <v>1516.69</v>
      </c>
    </row>
    <row r="2209" spans="1:9">
      <c r="A2209" t="s">
        <v>2227</v>
      </c>
      <c r="B2209" t="s">
        <v>15</v>
      </c>
      <c r="C2209" t="str">
        <f t="shared" si="68"/>
        <v>B</v>
      </c>
      <c r="D2209" t="s">
        <v>13</v>
      </c>
      <c r="E2209" t="s">
        <v>33</v>
      </c>
      <c r="F2209" t="str">
        <f t="shared" si="69"/>
        <v>Desktop</v>
      </c>
      <c r="G2209">
        <v>5</v>
      </c>
      <c r="H2209">
        <v>0</v>
      </c>
      <c r="I2209">
        <v>0</v>
      </c>
    </row>
    <row r="2210" spans="1:9">
      <c r="A2210" t="s">
        <v>2228</v>
      </c>
      <c r="B2210" t="s">
        <v>8</v>
      </c>
      <c r="C2210" t="str">
        <f t="shared" si="68"/>
        <v>A</v>
      </c>
      <c r="D2210" t="s">
        <v>18</v>
      </c>
      <c r="E2210" t="s">
        <v>33</v>
      </c>
      <c r="F2210" t="str">
        <f t="shared" si="69"/>
        <v>Desktop</v>
      </c>
      <c r="G2210">
        <v>9</v>
      </c>
      <c r="H2210">
        <v>0</v>
      </c>
      <c r="I2210">
        <v>0</v>
      </c>
    </row>
    <row r="2211" spans="1:9">
      <c r="A2211" t="s">
        <v>2229</v>
      </c>
      <c r="B2211" t="s">
        <v>15</v>
      </c>
      <c r="C2211" t="str">
        <f t="shared" si="68"/>
        <v>B</v>
      </c>
      <c r="D2211" t="s">
        <v>20</v>
      </c>
      <c r="E2211" t="s">
        <v>33</v>
      </c>
      <c r="F2211" t="str">
        <f t="shared" si="69"/>
        <v>Desktop</v>
      </c>
      <c r="G2211">
        <v>7</v>
      </c>
      <c r="H2211">
        <v>0</v>
      </c>
      <c r="I2211">
        <v>0</v>
      </c>
    </row>
    <row r="2212" spans="1:9">
      <c r="A2212" t="s">
        <v>2230</v>
      </c>
      <c r="B2212" t="s">
        <v>15</v>
      </c>
      <c r="C2212" t="str">
        <f t="shared" si="68"/>
        <v>B</v>
      </c>
      <c r="D2212" t="s">
        <v>20</v>
      </c>
      <c r="E2212" t="s">
        <v>10</v>
      </c>
      <c r="F2212" t="str">
        <f t="shared" si="69"/>
        <v>Mobile</v>
      </c>
      <c r="G2212">
        <v>4</v>
      </c>
      <c r="H2212">
        <v>0</v>
      </c>
      <c r="I2212">
        <v>0</v>
      </c>
    </row>
    <row r="2213" spans="1:9">
      <c r="A2213" t="s">
        <v>2231</v>
      </c>
      <c r="B2213" t="s">
        <v>8</v>
      </c>
      <c r="C2213" t="str">
        <f t="shared" si="68"/>
        <v>A</v>
      </c>
      <c r="D2213" t="s">
        <v>20</v>
      </c>
      <c r="E2213" t="s">
        <v>10</v>
      </c>
      <c r="F2213" t="str">
        <f t="shared" si="69"/>
        <v>Mobile</v>
      </c>
      <c r="G2213">
        <v>4</v>
      </c>
      <c r="H2213">
        <v>0</v>
      </c>
      <c r="I2213">
        <v>0</v>
      </c>
    </row>
    <row r="2214" spans="1:9">
      <c r="A2214" t="s">
        <v>2232</v>
      </c>
      <c r="B2214" t="s">
        <v>8</v>
      </c>
      <c r="C2214" t="str">
        <f t="shared" si="68"/>
        <v>A</v>
      </c>
      <c r="D2214" t="s">
        <v>20</v>
      </c>
      <c r="E2214" t="s">
        <v>10</v>
      </c>
      <c r="F2214" t="str">
        <f t="shared" si="69"/>
        <v>Mobile</v>
      </c>
      <c r="G2214">
        <v>4</v>
      </c>
      <c r="H2214">
        <v>1</v>
      </c>
      <c r="I2214">
        <v>1598.58</v>
      </c>
    </row>
    <row r="2215" spans="1:9">
      <c r="A2215" t="s">
        <v>2233</v>
      </c>
      <c r="B2215" t="s">
        <v>8</v>
      </c>
      <c r="C2215" t="str">
        <f t="shared" si="68"/>
        <v>A</v>
      </c>
      <c r="D2215" t="s">
        <v>20</v>
      </c>
      <c r="E2215" t="s">
        <v>16</v>
      </c>
      <c r="F2215" t="str">
        <f t="shared" si="69"/>
        <v>Mobile</v>
      </c>
      <c r="G2215">
        <v>11</v>
      </c>
      <c r="H2215">
        <v>0</v>
      </c>
      <c r="I2215">
        <v>0</v>
      </c>
    </row>
    <row r="2216" spans="1:9">
      <c r="A2216" t="s">
        <v>2234</v>
      </c>
      <c r="B2216" t="s">
        <v>15</v>
      </c>
      <c r="C2216" t="str">
        <f t="shared" si="68"/>
        <v>B</v>
      </c>
      <c r="D2216" t="s">
        <v>20</v>
      </c>
      <c r="E2216" t="s">
        <v>83</v>
      </c>
      <c r="F2216" t="str">
        <f t="shared" si="69"/>
        <v>Tablet</v>
      </c>
      <c r="G2216">
        <v>5</v>
      </c>
      <c r="H2216">
        <v>0</v>
      </c>
      <c r="I2216">
        <v>0</v>
      </c>
    </row>
    <row r="2217" spans="1:9">
      <c r="A2217" t="s">
        <v>2235</v>
      </c>
      <c r="B2217" t="s">
        <v>8</v>
      </c>
      <c r="C2217" t="str">
        <f t="shared" si="68"/>
        <v>A</v>
      </c>
      <c r="D2217" t="s">
        <v>9</v>
      </c>
      <c r="E2217" t="s">
        <v>16</v>
      </c>
      <c r="F2217" t="str">
        <f t="shared" si="69"/>
        <v>Mobile</v>
      </c>
      <c r="G2217">
        <v>5</v>
      </c>
      <c r="H2217">
        <v>0</v>
      </c>
      <c r="I2217">
        <v>0</v>
      </c>
    </row>
    <row r="2218" spans="1:9">
      <c r="A2218" t="s">
        <v>2236</v>
      </c>
      <c r="B2218" t="s">
        <v>15</v>
      </c>
      <c r="C2218" t="str">
        <f t="shared" si="68"/>
        <v>B</v>
      </c>
      <c r="D2218" t="s">
        <v>9</v>
      </c>
      <c r="E2218" t="s">
        <v>10</v>
      </c>
      <c r="F2218" t="str">
        <f t="shared" si="69"/>
        <v>Mobile</v>
      </c>
      <c r="G2218">
        <v>5</v>
      </c>
      <c r="H2218">
        <v>0</v>
      </c>
      <c r="I2218">
        <v>0</v>
      </c>
    </row>
    <row r="2219" spans="1:9">
      <c r="A2219" t="s">
        <v>2237</v>
      </c>
      <c r="B2219" t="s">
        <v>8</v>
      </c>
      <c r="C2219" t="str">
        <f t="shared" si="68"/>
        <v>A</v>
      </c>
      <c r="D2219" t="s">
        <v>13</v>
      </c>
      <c r="E2219" t="s">
        <v>33</v>
      </c>
      <c r="F2219" t="str">
        <f t="shared" si="69"/>
        <v>Desktop</v>
      </c>
      <c r="G2219">
        <v>4</v>
      </c>
      <c r="H2219">
        <v>0</v>
      </c>
      <c r="I2219">
        <v>0</v>
      </c>
    </row>
    <row r="2220" spans="1:9">
      <c r="A2220" t="s">
        <v>2238</v>
      </c>
      <c r="B2220" t="s">
        <v>8</v>
      </c>
      <c r="C2220" t="str">
        <f t="shared" si="68"/>
        <v>A</v>
      </c>
      <c r="D2220" t="s">
        <v>20</v>
      </c>
      <c r="E2220" t="s">
        <v>10</v>
      </c>
      <c r="F2220" t="str">
        <f t="shared" si="69"/>
        <v>Mobile</v>
      </c>
      <c r="G2220">
        <v>5</v>
      </c>
      <c r="H2220">
        <v>0</v>
      </c>
      <c r="I2220">
        <v>0</v>
      </c>
    </row>
    <row r="2221" spans="1:9">
      <c r="A2221" t="s">
        <v>2239</v>
      </c>
      <c r="B2221" t="s">
        <v>15</v>
      </c>
      <c r="C2221" t="str">
        <f t="shared" si="68"/>
        <v>B</v>
      </c>
      <c r="D2221" t="s">
        <v>20</v>
      </c>
      <c r="E2221" t="s">
        <v>10</v>
      </c>
      <c r="F2221" t="str">
        <f t="shared" si="69"/>
        <v>Mobile</v>
      </c>
      <c r="G2221">
        <v>5</v>
      </c>
      <c r="H2221">
        <v>0</v>
      </c>
      <c r="I2221">
        <v>0</v>
      </c>
    </row>
    <row r="2222" spans="1:9">
      <c r="A2222" t="s">
        <v>2240</v>
      </c>
      <c r="B2222" t="s">
        <v>8</v>
      </c>
      <c r="C2222" t="str">
        <f t="shared" si="68"/>
        <v>A</v>
      </c>
      <c r="D2222" t="s">
        <v>20</v>
      </c>
      <c r="E2222" t="s">
        <v>10</v>
      </c>
      <c r="F2222" t="str">
        <f t="shared" si="69"/>
        <v>Mobile</v>
      </c>
      <c r="G2222">
        <v>6</v>
      </c>
      <c r="H2222">
        <v>0</v>
      </c>
      <c r="I2222">
        <v>0</v>
      </c>
    </row>
    <row r="2223" spans="1:9">
      <c r="A2223" t="s">
        <v>2241</v>
      </c>
      <c r="B2223" t="s">
        <v>15</v>
      </c>
      <c r="C2223" t="str">
        <f t="shared" si="68"/>
        <v>B</v>
      </c>
      <c r="D2223" t="s">
        <v>13</v>
      </c>
      <c r="E2223" t="s">
        <v>10</v>
      </c>
      <c r="F2223" t="str">
        <f t="shared" si="69"/>
        <v>Mobile</v>
      </c>
      <c r="G2223">
        <v>9</v>
      </c>
      <c r="H2223">
        <v>0</v>
      </c>
      <c r="I2223">
        <v>0</v>
      </c>
    </row>
    <row r="2224" spans="1:9">
      <c r="A2224" t="s">
        <v>2242</v>
      </c>
      <c r="B2224" t="s">
        <v>15</v>
      </c>
      <c r="C2224" t="str">
        <f t="shared" si="68"/>
        <v>B</v>
      </c>
      <c r="D2224" t="s">
        <v>18</v>
      </c>
      <c r="E2224" t="s">
        <v>23</v>
      </c>
      <c r="F2224" t="str">
        <f t="shared" si="69"/>
        <v>Desktop</v>
      </c>
      <c r="G2224">
        <v>3</v>
      </c>
      <c r="H2224">
        <v>0</v>
      </c>
      <c r="I2224">
        <v>0</v>
      </c>
    </row>
    <row r="2225" spans="1:9">
      <c r="A2225" t="s">
        <v>2243</v>
      </c>
      <c r="B2225" t="s">
        <v>15</v>
      </c>
      <c r="C2225" t="str">
        <f t="shared" si="68"/>
        <v>B</v>
      </c>
      <c r="D2225" t="s">
        <v>13</v>
      </c>
      <c r="E2225" t="s">
        <v>10</v>
      </c>
      <c r="F2225" t="str">
        <f t="shared" si="69"/>
        <v>Mobile</v>
      </c>
      <c r="G2225">
        <v>8</v>
      </c>
      <c r="H2225">
        <v>0</v>
      </c>
      <c r="I2225">
        <v>0</v>
      </c>
    </row>
    <row r="2226" spans="1:9">
      <c r="A2226" t="s">
        <v>2244</v>
      </c>
      <c r="B2226" t="s">
        <v>15</v>
      </c>
      <c r="C2226" t="str">
        <f t="shared" si="68"/>
        <v>B</v>
      </c>
      <c r="D2226" t="s">
        <v>20</v>
      </c>
      <c r="E2226" t="s">
        <v>10</v>
      </c>
      <c r="F2226" t="str">
        <f t="shared" si="69"/>
        <v>Mobile</v>
      </c>
      <c r="G2226">
        <v>3</v>
      </c>
      <c r="H2226">
        <v>0</v>
      </c>
      <c r="I2226">
        <v>0</v>
      </c>
    </row>
    <row r="2227" spans="1:9">
      <c r="A2227" t="s">
        <v>2245</v>
      </c>
      <c r="B2227" t="s">
        <v>15</v>
      </c>
      <c r="C2227" t="str">
        <f t="shared" si="68"/>
        <v>B</v>
      </c>
      <c r="D2227" t="s">
        <v>13</v>
      </c>
      <c r="E2227" t="s">
        <v>23</v>
      </c>
      <c r="F2227" t="str">
        <f t="shared" si="69"/>
        <v>Desktop</v>
      </c>
      <c r="G2227">
        <v>8</v>
      </c>
      <c r="H2227">
        <v>1</v>
      </c>
      <c r="I2227">
        <v>2486.0100000000002</v>
      </c>
    </row>
    <row r="2228" spans="1:9">
      <c r="A2228" t="s">
        <v>2246</v>
      </c>
      <c r="B2228" t="s">
        <v>8</v>
      </c>
      <c r="C2228" t="str">
        <f t="shared" si="68"/>
        <v>A</v>
      </c>
      <c r="D2228" t="s">
        <v>20</v>
      </c>
      <c r="E2228" t="s">
        <v>16</v>
      </c>
      <c r="F2228" t="str">
        <f t="shared" si="69"/>
        <v>Mobile</v>
      </c>
      <c r="G2228">
        <v>6</v>
      </c>
      <c r="H2228">
        <v>0</v>
      </c>
      <c r="I2228">
        <v>0</v>
      </c>
    </row>
    <row r="2229" spans="1:9">
      <c r="A2229" t="s">
        <v>2247</v>
      </c>
      <c r="B2229" t="s">
        <v>8</v>
      </c>
      <c r="C2229" t="str">
        <f t="shared" si="68"/>
        <v>A</v>
      </c>
      <c r="D2229" t="s">
        <v>20</v>
      </c>
      <c r="E2229" t="s">
        <v>23</v>
      </c>
      <c r="F2229" t="str">
        <f t="shared" si="69"/>
        <v>Desktop</v>
      </c>
      <c r="G2229">
        <v>9</v>
      </c>
      <c r="H2229">
        <v>0</v>
      </c>
      <c r="I2229">
        <v>0</v>
      </c>
    </row>
    <row r="2230" spans="1:9">
      <c r="A2230" t="s">
        <v>2248</v>
      </c>
      <c r="B2230" t="s">
        <v>8</v>
      </c>
      <c r="C2230" t="str">
        <f t="shared" si="68"/>
        <v>A</v>
      </c>
      <c r="D2230" t="s">
        <v>13</v>
      </c>
      <c r="E2230" t="s">
        <v>10</v>
      </c>
      <c r="F2230" t="str">
        <f t="shared" si="69"/>
        <v>Mobile</v>
      </c>
      <c r="G2230">
        <v>7</v>
      </c>
      <c r="H2230">
        <v>0</v>
      </c>
      <c r="I2230">
        <v>0</v>
      </c>
    </row>
    <row r="2231" spans="1:9">
      <c r="A2231" t="s">
        <v>2249</v>
      </c>
      <c r="B2231" t="s">
        <v>15</v>
      </c>
      <c r="C2231" t="str">
        <f t="shared" si="68"/>
        <v>B</v>
      </c>
      <c r="D2231" t="s">
        <v>13</v>
      </c>
      <c r="E2231" t="s">
        <v>23</v>
      </c>
      <c r="F2231" t="str">
        <f t="shared" si="69"/>
        <v>Desktop</v>
      </c>
      <c r="G2231">
        <v>5</v>
      </c>
      <c r="H2231">
        <v>0</v>
      </c>
      <c r="I2231">
        <v>0</v>
      </c>
    </row>
    <row r="2232" spans="1:9">
      <c r="A2232" t="s">
        <v>2250</v>
      </c>
      <c r="B2232" t="s">
        <v>8</v>
      </c>
      <c r="C2232" t="str">
        <f t="shared" si="68"/>
        <v>A</v>
      </c>
      <c r="D2232" t="s">
        <v>20</v>
      </c>
      <c r="E2232" t="s">
        <v>33</v>
      </c>
      <c r="F2232" t="str">
        <f t="shared" si="69"/>
        <v>Desktop</v>
      </c>
      <c r="G2232">
        <v>2</v>
      </c>
      <c r="H2232">
        <v>0</v>
      </c>
      <c r="I2232">
        <v>0</v>
      </c>
    </row>
    <row r="2233" spans="1:9">
      <c r="A2233" t="s">
        <v>2251</v>
      </c>
      <c r="B2233" t="s">
        <v>15</v>
      </c>
      <c r="C2233" t="str">
        <f t="shared" si="68"/>
        <v>B</v>
      </c>
      <c r="D2233" t="s">
        <v>20</v>
      </c>
      <c r="E2233" t="s">
        <v>10</v>
      </c>
      <c r="F2233" t="str">
        <f t="shared" si="69"/>
        <v>Mobile</v>
      </c>
      <c r="G2233">
        <v>4</v>
      </c>
      <c r="H2233">
        <v>0</v>
      </c>
      <c r="I2233">
        <v>0</v>
      </c>
    </row>
    <row r="2234" spans="1:9">
      <c r="A2234" t="s">
        <v>2252</v>
      </c>
      <c r="B2234" t="s">
        <v>29</v>
      </c>
      <c r="C2234" t="str">
        <f t="shared" si="68"/>
        <v>B</v>
      </c>
      <c r="D2234" t="s">
        <v>18</v>
      </c>
      <c r="E2234" t="s">
        <v>23</v>
      </c>
      <c r="F2234" t="str">
        <f t="shared" si="69"/>
        <v>Desktop</v>
      </c>
      <c r="G2234">
        <v>4</v>
      </c>
      <c r="H2234">
        <v>0</v>
      </c>
      <c r="I2234">
        <v>0</v>
      </c>
    </row>
    <row r="2235" spans="1:9">
      <c r="A2235" t="s">
        <v>2253</v>
      </c>
      <c r="B2235" t="s">
        <v>15</v>
      </c>
      <c r="C2235" t="str">
        <f t="shared" si="68"/>
        <v>B</v>
      </c>
      <c r="D2235" t="s">
        <v>20</v>
      </c>
      <c r="E2235" t="s">
        <v>10</v>
      </c>
      <c r="F2235" t="str">
        <f t="shared" si="69"/>
        <v>Mobile</v>
      </c>
      <c r="G2235">
        <v>2</v>
      </c>
      <c r="H2235">
        <v>0</v>
      </c>
      <c r="I2235">
        <v>0</v>
      </c>
    </row>
    <row r="2236" spans="1:9">
      <c r="A2236" t="s">
        <v>2254</v>
      </c>
      <c r="B2236" t="s">
        <v>15</v>
      </c>
      <c r="C2236" t="str">
        <f t="shared" si="68"/>
        <v>B</v>
      </c>
      <c r="D2236" t="s">
        <v>20</v>
      </c>
      <c r="E2236" t="s">
        <v>10</v>
      </c>
      <c r="F2236" t="str">
        <f t="shared" si="69"/>
        <v>Mobile</v>
      </c>
      <c r="G2236">
        <v>5</v>
      </c>
      <c r="H2236">
        <v>0</v>
      </c>
      <c r="I2236">
        <v>0</v>
      </c>
    </row>
    <row r="2237" spans="1:9">
      <c r="A2237" t="s">
        <v>2255</v>
      </c>
      <c r="B2237" t="s">
        <v>8</v>
      </c>
      <c r="C2237" t="str">
        <f t="shared" si="68"/>
        <v>A</v>
      </c>
      <c r="D2237" t="s">
        <v>20</v>
      </c>
      <c r="E2237" t="s">
        <v>23</v>
      </c>
      <c r="F2237" t="str">
        <f t="shared" si="69"/>
        <v>Desktop</v>
      </c>
      <c r="G2237">
        <v>8</v>
      </c>
      <c r="H2237">
        <v>0</v>
      </c>
      <c r="I2237">
        <v>0</v>
      </c>
    </row>
    <row r="2238" spans="1:9">
      <c r="A2238" t="s">
        <v>2256</v>
      </c>
      <c r="B2238" t="s">
        <v>15</v>
      </c>
      <c r="C2238" t="str">
        <f t="shared" si="68"/>
        <v>B</v>
      </c>
      <c r="D2238" t="s">
        <v>20</v>
      </c>
      <c r="E2238" t="s">
        <v>16</v>
      </c>
      <c r="F2238" t="str">
        <f t="shared" si="69"/>
        <v>Mobile</v>
      </c>
      <c r="G2238">
        <v>6</v>
      </c>
      <c r="H2238">
        <v>0</v>
      </c>
      <c r="I2238">
        <v>0</v>
      </c>
    </row>
    <row r="2239" spans="1:9">
      <c r="A2239" t="s">
        <v>2257</v>
      </c>
      <c r="B2239" t="s">
        <v>15</v>
      </c>
      <c r="C2239" t="str">
        <f t="shared" si="68"/>
        <v>B</v>
      </c>
      <c r="D2239" t="s">
        <v>20</v>
      </c>
      <c r="E2239" t="s">
        <v>10</v>
      </c>
      <c r="F2239" t="str">
        <f t="shared" si="69"/>
        <v>Mobile</v>
      </c>
      <c r="G2239">
        <v>6</v>
      </c>
      <c r="H2239">
        <v>0</v>
      </c>
      <c r="I2239">
        <v>0</v>
      </c>
    </row>
    <row r="2240" spans="1:9">
      <c r="A2240" t="s">
        <v>2258</v>
      </c>
      <c r="B2240" t="s">
        <v>8</v>
      </c>
      <c r="C2240" t="str">
        <f t="shared" si="68"/>
        <v>A</v>
      </c>
      <c r="D2240" t="s">
        <v>9</v>
      </c>
      <c r="E2240" t="s">
        <v>23</v>
      </c>
      <c r="F2240" t="str">
        <f t="shared" si="69"/>
        <v>Desktop</v>
      </c>
      <c r="G2240">
        <v>8</v>
      </c>
      <c r="H2240">
        <v>1</v>
      </c>
      <c r="I2240">
        <v>5426.97</v>
      </c>
    </row>
    <row r="2241" spans="1:9">
      <c r="A2241" t="s">
        <v>2259</v>
      </c>
      <c r="B2241" t="s">
        <v>8</v>
      </c>
      <c r="C2241" t="str">
        <f t="shared" si="68"/>
        <v>A</v>
      </c>
      <c r="D2241" t="s">
        <v>20</v>
      </c>
      <c r="E2241" t="s">
        <v>16</v>
      </c>
      <c r="F2241" t="str">
        <f t="shared" si="69"/>
        <v>Mobile</v>
      </c>
      <c r="G2241">
        <v>10</v>
      </c>
      <c r="H2241">
        <v>0</v>
      </c>
      <c r="I2241">
        <v>0</v>
      </c>
    </row>
    <row r="2242" spans="1:9">
      <c r="A2242" t="s">
        <v>2260</v>
      </c>
      <c r="B2242" t="s">
        <v>15</v>
      </c>
      <c r="C2242" t="str">
        <f t="shared" ref="C2242:C2305" si="70">IF(OR(B2242="control", B2242="A"), "A", "B")</f>
        <v>B</v>
      </c>
      <c r="D2242" t="s">
        <v>13</v>
      </c>
      <c r="E2242" t="s">
        <v>33</v>
      </c>
      <c r="F2242" t="str">
        <f t="shared" ref="F2242:F2305" si="71">PROPER(E2242)</f>
        <v>Desktop</v>
      </c>
      <c r="G2242">
        <v>6</v>
      </c>
      <c r="H2242">
        <v>0</v>
      </c>
      <c r="I2242">
        <v>0</v>
      </c>
    </row>
    <row r="2243" spans="1:9">
      <c r="A2243" t="s">
        <v>2261</v>
      </c>
      <c r="B2243" t="s">
        <v>15</v>
      </c>
      <c r="C2243" t="str">
        <f t="shared" si="70"/>
        <v>B</v>
      </c>
      <c r="D2243" t="s">
        <v>13</v>
      </c>
      <c r="E2243" t="s">
        <v>10</v>
      </c>
      <c r="F2243" t="str">
        <f t="shared" si="71"/>
        <v>Mobile</v>
      </c>
      <c r="G2243">
        <v>6</v>
      </c>
      <c r="H2243">
        <v>0</v>
      </c>
      <c r="I2243">
        <v>0</v>
      </c>
    </row>
    <row r="2244" spans="1:9">
      <c r="A2244" t="s">
        <v>2262</v>
      </c>
      <c r="B2244" t="s">
        <v>15</v>
      </c>
      <c r="C2244" t="str">
        <f t="shared" si="70"/>
        <v>B</v>
      </c>
      <c r="D2244" t="s">
        <v>13</v>
      </c>
      <c r="E2244" t="s">
        <v>33</v>
      </c>
      <c r="F2244" t="str">
        <f t="shared" si="71"/>
        <v>Desktop</v>
      </c>
      <c r="G2244">
        <v>4</v>
      </c>
      <c r="H2244">
        <v>1</v>
      </c>
      <c r="I2244">
        <v>2316.52</v>
      </c>
    </row>
    <row r="2245" spans="1:9">
      <c r="A2245" t="s">
        <v>2263</v>
      </c>
      <c r="B2245" t="s">
        <v>15</v>
      </c>
      <c r="C2245" t="str">
        <f t="shared" si="70"/>
        <v>B</v>
      </c>
      <c r="D2245" t="s">
        <v>9</v>
      </c>
      <c r="E2245" t="s">
        <v>10</v>
      </c>
      <c r="F2245" t="str">
        <f t="shared" si="71"/>
        <v>Mobile</v>
      </c>
      <c r="G2245">
        <v>11</v>
      </c>
      <c r="H2245">
        <v>1</v>
      </c>
      <c r="I2245">
        <v>6186.93</v>
      </c>
    </row>
    <row r="2246" spans="1:9">
      <c r="A2246" t="s">
        <v>2264</v>
      </c>
      <c r="B2246" t="s">
        <v>15</v>
      </c>
      <c r="C2246" t="str">
        <f t="shared" si="70"/>
        <v>B</v>
      </c>
      <c r="D2246" t="s">
        <v>9</v>
      </c>
      <c r="E2246" t="s">
        <v>23</v>
      </c>
      <c r="F2246" t="str">
        <f t="shared" si="71"/>
        <v>Desktop</v>
      </c>
      <c r="G2246">
        <v>4</v>
      </c>
      <c r="H2246">
        <v>0</v>
      </c>
      <c r="I2246">
        <v>0</v>
      </c>
    </row>
    <row r="2247" spans="1:9">
      <c r="A2247" t="s">
        <v>2265</v>
      </c>
      <c r="B2247" t="s">
        <v>15</v>
      </c>
      <c r="C2247" t="str">
        <f t="shared" si="70"/>
        <v>B</v>
      </c>
      <c r="D2247" t="s">
        <v>20</v>
      </c>
      <c r="E2247" t="s">
        <v>10</v>
      </c>
      <c r="F2247" t="str">
        <f t="shared" si="71"/>
        <v>Mobile</v>
      </c>
      <c r="G2247">
        <v>6</v>
      </c>
      <c r="H2247">
        <v>0</v>
      </c>
      <c r="I2247">
        <v>0</v>
      </c>
    </row>
    <row r="2248" spans="1:9">
      <c r="A2248" t="s">
        <v>2266</v>
      </c>
      <c r="B2248" t="s">
        <v>8</v>
      </c>
      <c r="C2248" t="str">
        <f t="shared" si="70"/>
        <v>A</v>
      </c>
      <c r="D2248" t="s">
        <v>9</v>
      </c>
      <c r="E2248" t="s">
        <v>10</v>
      </c>
      <c r="F2248" t="str">
        <f t="shared" si="71"/>
        <v>Mobile</v>
      </c>
      <c r="G2248">
        <v>3</v>
      </c>
      <c r="H2248">
        <v>0</v>
      </c>
      <c r="I2248">
        <v>0</v>
      </c>
    </row>
    <row r="2249" spans="1:9">
      <c r="A2249" t="s">
        <v>2267</v>
      </c>
      <c r="B2249" t="s">
        <v>8</v>
      </c>
      <c r="C2249" t="str">
        <f t="shared" si="70"/>
        <v>A</v>
      </c>
      <c r="D2249" t="s">
        <v>13</v>
      </c>
      <c r="E2249" t="s">
        <v>23</v>
      </c>
      <c r="F2249" t="str">
        <f t="shared" si="71"/>
        <v>Desktop</v>
      </c>
      <c r="G2249">
        <v>9</v>
      </c>
      <c r="H2249">
        <v>0</v>
      </c>
      <c r="I2249">
        <v>0</v>
      </c>
    </row>
    <row r="2250" spans="1:9">
      <c r="A2250" t="s">
        <v>2268</v>
      </c>
      <c r="B2250" t="s">
        <v>8</v>
      </c>
      <c r="C2250" t="str">
        <f t="shared" si="70"/>
        <v>A</v>
      </c>
      <c r="D2250" t="s">
        <v>18</v>
      </c>
      <c r="E2250" t="s">
        <v>10</v>
      </c>
      <c r="F2250" t="str">
        <f t="shared" si="71"/>
        <v>Mobile</v>
      </c>
      <c r="G2250">
        <v>3</v>
      </c>
      <c r="H2250">
        <v>0</v>
      </c>
      <c r="I2250">
        <v>0</v>
      </c>
    </row>
    <row r="2251" spans="1:9">
      <c r="A2251" t="s">
        <v>2269</v>
      </c>
      <c r="B2251" t="s">
        <v>15</v>
      </c>
      <c r="C2251" t="str">
        <f t="shared" si="70"/>
        <v>B</v>
      </c>
      <c r="D2251" t="s">
        <v>13</v>
      </c>
      <c r="E2251" t="s">
        <v>10</v>
      </c>
      <c r="F2251" t="str">
        <f t="shared" si="71"/>
        <v>Mobile</v>
      </c>
      <c r="G2251">
        <v>8</v>
      </c>
      <c r="H2251">
        <v>1</v>
      </c>
      <c r="I2251">
        <v>2086.65</v>
      </c>
    </row>
    <row r="2252" spans="1:9">
      <c r="A2252" t="s">
        <v>2270</v>
      </c>
      <c r="B2252" t="s">
        <v>15</v>
      </c>
      <c r="C2252" t="str">
        <f t="shared" si="70"/>
        <v>B</v>
      </c>
      <c r="D2252" t="s">
        <v>18</v>
      </c>
      <c r="E2252" t="s">
        <v>10</v>
      </c>
      <c r="F2252" t="str">
        <f t="shared" si="71"/>
        <v>Mobile</v>
      </c>
      <c r="G2252">
        <v>14</v>
      </c>
      <c r="H2252">
        <v>0</v>
      </c>
      <c r="I2252">
        <v>0</v>
      </c>
    </row>
    <row r="2253" spans="1:9">
      <c r="A2253" t="s">
        <v>2271</v>
      </c>
      <c r="B2253" t="s">
        <v>15</v>
      </c>
      <c r="C2253" t="str">
        <f t="shared" si="70"/>
        <v>B</v>
      </c>
      <c r="D2253" t="s">
        <v>13</v>
      </c>
      <c r="E2253" t="s">
        <v>23</v>
      </c>
      <c r="F2253" t="str">
        <f t="shared" si="71"/>
        <v>Desktop</v>
      </c>
      <c r="G2253">
        <v>5</v>
      </c>
      <c r="H2253">
        <v>0</v>
      </c>
      <c r="I2253">
        <v>0</v>
      </c>
    </row>
    <row r="2254" spans="1:9">
      <c r="A2254" t="s">
        <v>2272</v>
      </c>
      <c r="B2254" t="s">
        <v>8</v>
      </c>
      <c r="C2254" t="str">
        <f t="shared" si="70"/>
        <v>A</v>
      </c>
      <c r="D2254" t="s">
        <v>20</v>
      </c>
      <c r="E2254" t="s">
        <v>10</v>
      </c>
      <c r="F2254" t="str">
        <f t="shared" si="71"/>
        <v>Mobile</v>
      </c>
      <c r="G2254">
        <v>5</v>
      </c>
      <c r="H2254">
        <v>0</v>
      </c>
      <c r="I2254">
        <v>0</v>
      </c>
    </row>
    <row r="2255" spans="1:9">
      <c r="A2255" t="s">
        <v>2273</v>
      </c>
      <c r="B2255" t="s">
        <v>15</v>
      </c>
      <c r="C2255" t="str">
        <f t="shared" si="70"/>
        <v>B</v>
      </c>
      <c r="D2255" t="s">
        <v>13</v>
      </c>
      <c r="E2255" t="s">
        <v>23</v>
      </c>
      <c r="F2255" t="str">
        <f t="shared" si="71"/>
        <v>Desktop</v>
      </c>
      <c r="G2255">
        <v>7</v>
      </c>
      <c r="H2255">
        <v>0</v>
      </c>
      <c r="I2255">
        <v>0</v>
      </c>
    </row>
    <row r="2256" spans="1:9">
      <c r="A2256" t="s">
        <v>2274</v>
      </c>
      <c r="B2256" t="s">
        <v>15</v>
      </c>
      <c r="C2256" t="str">
        <f t="shared" si="70"/>
        <v>B</v>
      </c>
      <c r="D2256" t="s">
        <v>18</v>
      </c>
      <c r="E2256" t="s">
        <v>10</v>
      </c>
      <c r="F2256" t="str">
        <f t="shared" si="71"/>
        <v>Mobile</v>
      </c>
      <c r="G2256">
        <v>5</v>
      </c>
      <c r="H2256">
        <v>0</v>
      </c>
      <c r="I2256">
        <v>0</v>
      </c>
    </row>
    <row r="2257" spans="1:9">
      <c r="A2257" t="s">
        <v>2275</v>
      </c>
      <c r="B2257" t="s">
        <v>15</v>
      </c>
      <c r="C2257" t="str">
        <f t="shared" si="70"/>
        <v>B</v>
      </c>
      <c r="D2257" t="s">
        <v>9</v>
      </c>
      <c r="E2257" t="s">
        <v>10</v>
      </c>
      <c r="F2257" t="str">
        <f t="shared" si="71"/>
        <v>Mobile</v>
      </c>
      <c r="G2257">
        <v>5</v>
      </c>
      <c r="H2257">
        <v>0</v>
      </c>
      <c r="I2257">
        <v>0</v>
      </c>
    </row>
    <row r="2258" spans="1:9">
      <c r="A2258" t="s">
        <v>2276</v>
      </c>
      <c r="B2258" t="s">
        <v>15</v>
      </c>
      <c r="C2258" t="str">
        <f t="shared" si="70"/>
        <v>B</v>
      </c>
      <c r="D2258" t="s">
        <v>20</v>
      </c>
      <c r="E2258" t="s">
        <v>10</v>
      </c>
      <c r="F2258" t="str">
        <f t="shared" si="71"/>
        <v>Mobile</v>
      </c>
      <c r="G2258">
        <v>4</v>
      </c>
      <c r="H2258">
        <v>0</v>
      </c>
      <c r="I2258">
        <v>0</v>
      </c>
    </row>
    <row r="2259" spans="1:9">
      <c r="A2259" t="s">
        <v>2277</v>
      </c>
      <c r="B2259" t="s">
        <v>8</v>
      </c>
      <c r="C2259" t="str">
        <f t="shared" si="70"/>
        <v>A</v>
      </c>
      <c r="D2259" t="s">
        <v>13</v>
      </c>
      <c r="E2259" t="s">
        <v>10</v>
      </c>
      <c r="F2259" t="str">
        <f t="shared" si="71"/>
        <v>Mobile</v>
      </c>
      <c r="G2259">
        <v>11</v>
      </c>
      <c r="H2259">
        <v>0</v>
      </c>
      <c r="I2259">
        <v>0</v>
      </c>
    </row>
    <row r="2260" spans="1:9">
      <c r="A2260" t="s">
        <v>2278</v>
      </c>
      <c r="B2260" t="s">
        <v>15</v>
      </c>
      <c r="C2260" t="str">
        <f t="shared" si="70"/>
        <v>B</v>
      </c>
      <c r="D2260" t="s">
        <v>20</v>
      </c>
      <c r="E2260" t="s">
        <v>10</v>
      </c>
      <c r="F2260" t="str">
        <f t="shared" si="71"/>
        <v>Mobile</v>
      </c>
      <c r="G2260">
        <v>5</v>
      </c>
      <c r="H2260">
        <v>0</v>
      </c>
      <c r="I2260">
        <v>0</v>
      </c>
    </row>
    <row r="2261" spans="1:9">
      <c r="A2261" t="s">
        <v>2279</v>
      </c>
      <c r="B2261" t="s">
        <v>8</v>
      </c>
      <c r="C2261" t="str">
        <f t="shared" si="70"/>
        <v>A</v>
      </c>
      <c r="D2261" t="s">
        <v>20</v>
      </c>
      <c r="E2261" t="s">
        <v>10</v>
      </c>
      <c r="F2261" t="str">
        <f t="shared" si="71"/>
        <v>Mobile</v>
      </c>
      <c r="G2261">
        <v>10</v>
      </c>
      <c r="H2261">
        <v>0</v>
      </c>
      <c r="I2261">
        <v>0</v>
      </c>
    </row>
    <row r="2262" spans="1:9">
      <c r="A2262" t="s">
        <v>2280</v>
      </c>
      <c r="B2262" t="s">
        <v>8</v>
      </c>
      <c r="C2262" t="str">
        <f t="shared" si="70"/>
        <v>A</v>
      </c>
      <c r="D2262" t="s">
        <v>20</v>
      </c>
      <c r="E2262" t="s">
        <v>33</v>
      </c>
      <c r="F2262" t="str">
        <f t="shared" si="71"/>
        <v>Desktop</v>
      </c>
      <c r="G2262">
        <v>9</v>
      </c>
      <c r="H2262">
        <v>0</v>
      </c>
      <c r="I2262">
        <v>0</v>
      </c>
    </row>
    <row r="2263" spans="1:9">
      <c r="A2263" t="s">
        <v>2281</v>
      </c>
      <c r="B2263" t="s">
        <v>15</v>
      </c>
      <c r="C2263" t="str">
        <f t="shared" si="70"/>
        <v>B</v>
      </c>
      <c r="D2263" t="s">
        <v>20</v>
      </c>
      <c r="E2263" t="s">
        <v>23</v>
      </c>
      <c r="F2263" t="str">
        <f t="shared" si="71"/>
        <v>Desktop</v>
      </c>
      <c r="G2263">
        <v>8</v>
      </c>
      <c r="H2263">
        <v>0</v>
      </c>
      <c r="I2263">
        <v>0</v>
      </c>
    </row>
    <row r="2264" spans="1:9">
      <c r="A2264" t="s">
        <v>2282</v>
      </c>
      <c r="B2264" t="s">
        <v>15</v>
      </c>
      <c r="C2264" t="str">
        <f t="shared" si="70"/>
        <v>B</v>
      </c>
      <c r="D2264" t="s">
        <v>9</v>
      </c>
      <c r="E2264" t="s">
        <v>10</v>
      </c>
      <c r="F2264" t="str">
        <f t="shared" si="71"/>
        <v>Mobile</v>
      </c>
      <c r="G2264">
        <v>6</v>
      </c>
      <c r="H2264">
        <v>0</v>
      </c>
      <c r="I2264">
        <v>0</v>
      </c>
    </row>
    <row r="2265" spans="1:9">
      <c r="A2265" t="s">
        <v>2283</v>
      </c>
      <c r="B2265" t="s">
        <v>12</v>
      </c>
      <c r="C2265" t="str">
        <f t="shared" si="70"/>
        <v>A</v>
      </c>
      <c r="D2265" t="s">
        <v>20</v>
      </c>
      <c r="E2265" t="s">
        <v>10</v>
      </c>
      <c r="F2265" t="str">
        <f t="shared" si="71"/>
        <v>Mobile</v>
      </c>
      <c r="G2265">
        <v>4</v>
      </c>
      <c r="H2265">
        <v>0</v>
      </c>
      <c r="I2265">
        <v>0</v>
      </c>
    </row>
    <row r="2266" spans="1:9">
      <c r="A2266" t="s">
        <v>2284</v>
      </c>
      <c r="B2266" t="s">
        <v>15</v>
      </c>
      <c r="C2266" t="str">
        <f t="shared" si="70"/>
        <v>B</v>
      </c>
      <c r="D2266" t="s">
        <v>9</v>
      </c>
      <c r="E2266" t="s">
        <v>16</v>
      </c>
      <c r="F2266" t="str">
        <f t="shared" si="71"/>
        <v>Mobile</v>
      </c>
      <c r="G2266">
        <v>8</v>
      </c>
      <c r="H2266">
        <v>1</v>
      </c>
      <c r="I2266">
        <v>5990.71</v>
      </c>
    </row>
    <row r="2267" spans="1:9">
      <c r="A2267" t="s">
        <v>2285</v>
      </c>
      <c r="B2267" t="s">
        <v>15</v>
      </c>
      <c r="C2267" t="str">
        <f t="shared" si="70"/>
        <v>B</v>
      </c>
      <c r="D2267" t="s">
        <v>20</v>
      </c>
      <c r="E2267" t="s">
        <v>10</v>
      </c>
      <c r="F2267" t="str">
        <f t="shared" si="71"/>
        <v>Mobile</v>
      </c>
      <c r="G2267">
        <v>6</v>
      </c>
      <c r="H2267">
        <v>0</v>
      </c>
      <c r="I2267">
        <v>0</v>
      </c>
    </row>
    <row r="2268" spans="1:9">
      <c r="A2268" t="s">
        <v>2286</v>
      </c>
      <c r="B2268" t="s">
        <v>15</v>
      </c>
      <c r="C2268" t="str">
        <f t="shared" si="70"/>
        <v>B</v>
      </c>
      <c r="D2268" t="s">
        <v>20</v>
      </c>
      <c r="E2268" t="s">
        <v>10</v>
      </c>
      <c r="F2268" t="str">
        <f t="shared" si="71"/>
        <v>Mobile</v>
      </c>
      <c r="G2268">
        <v>6</v>
      </c>
      <c r="H2268">
        <v>0</v>
      </c>
      <c r="I2268">
        <v>0</v>
      </c>
    </row>
    <row r="2269" spans="1:9">
      <c r="A2269" t="s">
        <v>2287</v>
      </c>
      <c r="B2269" t="s">
        <v>15</v>
      </c>
      <c r="C2269" t="str">
        <f t="shared" si="70"/>
        <v>B</v>
      </c>
      <c r="D2269" t="s">
        <v>20</v>
      </c>
      <c r="E2269" t="s">
        <v>23</v>
      </c>
      <c r="F2269" t="str">
        <f t="shared" si="71"/>
        <v>Desktop</v>
      </c>
      <c r="G2269">
        <v>10</v>
      </c>
      <c r="H2269">
        <v>0</v>
      </c>
      <c r="I2269">
        <v>0</v>
      </c>
    </row>
    <row r="2270" spans="1:9">
      <c r="A2270" t="s">
        <v>2288</v>
      </c>
      <c r="B2270" t="s">
        <v>8</v>
      </c>
      <c r="C2270" t="str">
        <f t="shared" si="70"/>
        <v>A</v>
      </c>
      <c r="D2270" t="s">
        <v>20</v>
      </c>
      <c r="E2270" t="s">
        <v>23</v>
      </c>
      <c r="F2270" t="str">
        <f t="shared" si="71"/>
        <v>Desktop</v>
      </c>
      <c r="G2270">
        <v>5</v>
      </c>
      <c r="H2270">
        <v>1</v>
      </c>
      <c r="I2270">
        <v>1291.55</v>
      </c>
    </row>
    <row r="2271" spans="1:9">
      <c r="A2271" t="s">
        <v>2289</v>
      </c>
      <c r="B2271" t="s">
        <v>8</v>
      </c>
      <c r="C2271" t="str">
        <f t="shared" si="70"/>
        <v>A</v>
      </c>
      <c r="D2271" t="s">
        <v>20</v>
      </c>
      <c r="E2271" t="s">
        <v>23</v>
      </c>
      <c r="F2271" t="str">
        <f t="shared" si="71"/>
        <v>Desktop</v>
      </c>
      <c r="G2271">
        <v>5</v>
      </c>
      <c r="H2271">
        <v>0</v>
      </c>
      <c r="I2271">
        <v>0</v>
      </c>
    </row>
    <row r="2272" spans="1:9">
      <c r="A2272" t="s">
        <v>2290</v>
      </c>
      <c r="B2272" t="s">
        <v>8</v>
      </c>
      <c r="C2272" t="str">
        <f t="shared" si="70"/>
        <v>A</v>
      </c>
      <c r="D2272" t="s">
        <v>20</v>
      </c>
      <c r="E2272" t="s">
        <v>10</v>
      </c>
      <c r="F2272" t="str">
        <f t="shared" si="71"/>
        <v>Mobile</v>
      </c>
      <c r="G2272">
        <v>8</v>
      </c>
      <c r="H2272">
        <v>0</v>
      </c>
      <c r="I2272">
        <v>0</v>
      </c>
    </row>
    <row r="2273" spans="1:9">
      <c r="A2273" t="s">
        <v>2291</v>
      </c>
      <c r="B2273" t="s">
        <v>15</v>
      </c>
      <c r="C2273" t="str">
        <f t="shared" si="70"/>
        <v>B</v>
      </c>
      <c r="D2273" t="s">
        <v>13</v>
      </c>
      <c r="E2273" t="s">
        <v>10</v>
      </c>
      <c r="F2273" t="str">
        <f t="shared" si="71"/>
        <v>Mobile</v>
      </c>
      <c r="G2273">
        <v>4</v>
      </c>
      <c r="H2273">
        <v>0</v>
      </c>
      <c r="I2273">
        <v>0</v>
      </c>
    </row>
    <row r="2274" spans="1:9">
      <c r="A2274" t="s">
        <v>2292</v>
      </c>
      <c r="B2274" t="s">
        <v>8</v>
      </c>
      <c r="C2274" t="str">
        <f t="shared" si="70"/>
        <v>A</v>
      </c>
      <c r="D2274" t="s">
        <v>20</v>
      </c>
      <c r="E2274" t="s">
        <v>23</v>
      </c>
      <c r="F2274" t="str">
        <f t="shared" si="71"/>
        <v>Desktop</v>
      </c>
      <c r="G2274">
        <v>6</v>
      </c>
      <c r="H2274">
        <v>1</v>
      </c>
      <c r="I2274">
        <v>1277.6300000000001</v>
      </c>
    </row>
    <row r="2275" spans="1:9">
      <c r="A2275" t="s">
        <v>2293</v>
      </c>
      <c r="B2275" t="s">
        <v>8</v>
      </c>
      <c r="C2275" t="str">
        <f t="shared" si="70"/>
        <v>A</v>
      </c>
      <c r="D2275" t="s">
        <v>20</v>
      </c>
      <c r="E2275" t="s">
        <v>10</v>
      </c>
      <c r="F2275" t="str">
        <f t="shared" si="71"/>
        <v>Mobile</v>
      </c>
      <c r="G2275">
        <v>10</v>
      </c>
      <c r="H2275">
        <v>0</v>
      </c>
      <c r="I2275">
        <v>0</v>
      </c>
    </row>
    <row r="2276" spans="1:9">
      <c r="A2276" t="s">
        <v>2294</v>
      </c>
      <c r="B2276" t="s">
        <v>8</v>
      </c>
      <c r="C2276" t="str">
        <f t="shared" si="70"/>
        <v>A</v>
      </c>
      <c r="D2276" t="s">
        <v>20</v>
      </c>
      <c r="E2276" t="s">
        <v>10</v>
      </c>
      <c r="F2276" t="str">
        <f t="shared" si="71"/>
        <v>Mobile</v>
      </c>
      <c r="G2276">
        <v>6</v>
      </c>
      <c r="H2276">
        <v>0</v>
      </c>
      <c r="I2276">
        <v>0</v>
      </c>
    </row>
    <row r="2277" spans="1:9">
      <c r="A2277" t="s">
        <v>2295</v>
      </c>
      <c r="B2277" t="s">
        <v>29</v>
      </c>
      <c r="C2277" t="str">
        <f t="shared" si="70"/>
        <v>B</v>
      </c>
      <c r="D2277" t="s">
        <v>9</v>
      </c>
      <c r="E2277" t="s">
        <v>23</v>
      </c>
      <c r="F2277" t="str">
        <f t="shared" si="71"/>
        <v>Desktop</v>
      </c>
      <c r="G2277">
        <v>4</v>
      </c>
      <c r="H2277">
        <v>0</v>
      </c>
      <c r="I2277">
        <v>0</v>
      </c>
    </row>
    <row r="2278" spans="1:9">
      <c r="A2278" t="s">
        <v>2296</v>
      </c>
      <c r="B2278" t="s">
        <v>8</v>
      </c>
      <c r="C2278" t="str">
        <f t="shared" si="70"/>
        <v>A</v>
      </c>
      <c r="D2278" t="s">
        <v>9</v>
      </c>
      <c r="E2278" t="s">
        <v>10</v>
      </c>
      <c r="F2278" t="str">
        <f t="shared" si="71"/>
        <v>Mobile</v>
      </c>
      <c r="G2278">
        <v>11</v>
      </c>
      <c r="H2278">
        <v>0</v>
      </c>
      <c r="I2278">
        <v>0</v>
      </c>
    </row>
    <row r="2279" spans="1:9">
      <c r="A2279" t="s">
        <v>2297</v>
      </c>
      <c r="B2279" t="s">
        <v>15</v>
      </c>
      <c r="C2279" t="str">
        <f t="shared" si="70"/>
        <v>B</v>
      </c>
      <c r="D2279" t="s">
        <v>13</v>
      </c>
      <c r="E2279" t="s">
        <v>33</v>
      </c>
      <c r="F2279" t="str">
        <f t="shared" si="71"/>
        <v>Desktop</v>
      </c>
      <c r="G2279">
        <v>5</v>
      </c>
      <c r="H2279">
        <v>1</v>
      </c>
      <c r="I2279">
        <v>2612.91</v>
      </c>
    </row>
    <row r="2280" spans="1:9">
      <c r="A2280" t="s">
        <v>2298</v>
      </c>
      <c r="B2280" t="s">
        <v>8</v>
      </c>
      <c r="C2280" t="str">
        <f t="shared" si="70"/>
        <v>A</v>
      </c>
      <c r="D2280" t="s">
        <v>20</v>
      </c>
      <c r="E2280" t="s">
        <v>16</v>
      </c>
      <c r="F2280" t="str">
        <f t="shared" si="71"/>
        <v>Mobile</v>
      </c>
      <c r="G2280">
        <v>9</v>
      </c>
      <c r="H2280">
        <v>0</v>
      </c>
      <c r="I2280">
        <v>0</v>
      </c>
    </row>
    <row r="2281" spans="1:9">
      <c r="A2281" t="s">
        <v>2299</v>
      </c>
      <c r="B2281" t="s">
        <v>15</v>
      </c>
      <c r="C2281" t="str">
        <f t="shared" si="70"/>
        <v>B</v>
      </c>
      <c r="D2281" t="s">
        <v>20</v>
      </c>
      <c r="E2281" t="s">
        <v>23</v>
      </c>
      <c r="F2281" t="str">
        <f t="shared" si="71"/>
        <v>Desktop</v>
      </c>
      <c r="G2281">
        <v>6</v>
      </c>
      <c r="H2281">
        <v>0</v>
      </c>
      <c r="I2281">
        <v>0</v>
      </c>
    </row>
    <row r="2282" spans="1:9">
      <c r="A2282" t="s">
        <v>2300</v>
      </c>
      <c r="B2282" t="s">
        <v>8</v>
      </c>
      <c r="C2282" t="str">
        <f t="shared" si="70"/>
        <v>A</v>
      </c>
      <c r="D2282" t="s">
        <v>18</v>
      </c>
      <c r="E2282" t="s">
        <v>10</v>
      </c>
      <c r="F2282" t="str">
        <f t="shared" si="71"/>
        <v>Mobile</v>
      </c>
      <c r="G2282">
        <v>5</v>
      </c>
      <c r="H2282">
        <v>0</v>
      </c>
      <c r="I2282">
        <v>0</v>
      </c>
    </row>
    <row r="2283" spans="1:9">
      <c r="A2283" t="s">
        <v>2301</v>
      </c>
      <c r="B2283" t="s">
        <v>8</v>
      </c>
      <c r="C2283" t="str">
        <f t="shared" si="70"/>
        <v>A</v>
      </c>
      <c r="D2283" t="s">
        <v>20</v>
      </c>
      <c r="E2283" t="s">
        <v>10</v>
      </c>
      <c r="F2283" t="str">
        <f t="shared" si="71"/>
        <v>Mobile</v>
      </c>
      <c r="G2283">
        <v>10</v>
      </c>
      <c r="H2283">
        <v>0</v>
      </c>
      <c r="I2283">
        <v>0</v>
      </c>
    </row>
    <row r="2284" spans="1:9">
      <c r="A2284" t="s">
        <v>2302</v>
      </c>
      <c r="B2284" t="s">
        <v>15</v>
      </c>
      <c r="C2284" t="str">
        <f t="shared" si="70"/>
        <v>B</v>
      </c>
      <c r="D2284" t="s">
        <v>20</v>
      </c>
      <c r="E2284" t="s">
        <v>10</v>
      </c>
      <c r="F2284" t="str">
        <f t="shared" si="71"/>
        <v>Mobile</v>
      </c>
      <c r="G2284">
        <v>2</v>
      </c>
      <c r="H2284">
        <v>0</v>
      </c>
      <c r="I2284">
        <v>0</v>
      </c>
    </row>
    <row r="2285" spans="1:9">
      <c r="A2285" t="s">
        <v>2303</v>
      </c>
      <c r="B2285" t="s">
        <v>8</v>
      </c>
      <c r="C2285" t="str">
        <f t="shared" si="70"/>
        <v>A</v>
      </c>
      <c r="D2285" t="s">
        <v>20</v>
      </c>
      <c r="E2285" t="s">
        <v>10</v>
      </c>
      <c r="F2285" t="str">
        <f t="shared" si="71"/>
        <v>Mobile</v>
      </c>
      <c r="G2285">
        <v>7</v>
      </c>
      <c r="H2285">
        <v>0</v>
      </c>
      <c r="I2285">
        <v>0</v>
      </c>
    </row>
    <row r="2286" spans="1:9">
      <c r="A2286" t="s">
        <v>2304</v>
      </c>
      <c r="B2286" t="s">
        <v>8</v>
      </c>
      <c r="C2286" t="str">
        <f t="shared" si="70"/>
        <v>A</v>
      </c>
      <c r="D2286" t="s">
        <v>20</v>
      </c>
      <c r="E2286" t="s">
        <v>83</v>
      </c>
      <c r="F2286" t="str">
        <f t="shared" si="71"/>
        <v>Tablet</v>
      </c>
      <c r="G2286">
        <v>2</v>
      </c>
      <c r="H2286">
        <v>0</v>
      </c>
      <c r="I2286">
        <v>0</v>
      </c>
    </row>
    <row r="2287" spans="1:9">
      <c r="A2287" t="s">
        <v>2305</v>
      </c>
      <c r="B2287" t="s">
        <v>8</v>
      </c>
      <c r="C2287" t="str">
        <f t="shared" si="70"/>
        <v>A</v>
      </c>
      <c r="D2287" t="s">
        <v>20</v>
      </c>
      <c r="E2287" t="s">
        <v>10</v>
      </c>
      <c r="F2287" t="str">
        <f t="shared" si="71"/>
        <v>Mobile</v>
      </c>
      <c r="G2287">
        <v>3</v>
      </c>
      <c r="H2287">
        <v>1</v>
      </c>
      <c r="I2287">
        <v>1884.37</v>
      </c>
    </row>
    <row r="2288" spans="1:9">
      <c r="A2288" t="s">
        <v>2306</v>
      </c>
      <c r="B2288" t="s">
        <v>8</v>
      </c>
      <c r="C2288" t="str">
        <f t="shared" si="70"/>
        <v>A</v>
      </c>
      <c r="D2288" t="s">
        <v>9</v>
      </c>
      <c r="E2288" t="s">
        <v>10</v>
      </c>
      <c r="F2288" t="str">
        <f t="shared" si="71"/>
        <v>Mobile</v>
      </c>
      <c r="G2288">
        <v>8</v>
      </c>
      <c r="H2288">
        <v>0</v>
      </c>
      <c r="I2288">
        <v>0</v>
      </c>
    </row>
    <row r="2289" spans="1:9">
      <c r="A2289" t="s">
        <v>2307</v>
      </c>
      <c r="B2289" t="s">
        <v>8</v>
      </c>
      <c r="C2289" t="str">
        <f t="shared" si="70"/>
        <v>A</v>
      </c>
      <c r="D2289" t="s">
        <v>20</v>
      </c>
      <c r="E2289" t="s">
        <v>10</v>
      </c>
      <c r="F2289" t="str">
        <f t="shared" si="71"/>
        <v>Mobile</v>
      </c>
      <c r="G2289">
        <v>7</v>
      </c>
      <c r="H2289">
        <v>0</v>
      </c>
      <c r="I2289">
        <v>0</v>
      </c>
    </row>
    <row r="2290" spans="1:9">
      <c r="A2290" t="s">
        <v>2308</v>
      </c>
      <c r="B2290" t="s">
        <v>8</v>
      </c>
      <c r="C2290" t="str">
        <f t="shared" si="70"/>
        <v>A</v>
      </c>
      <c r="D2290" t="s">
        <v>13</v>
      </c>
      <c r="E2290" t="s">
        <v>23</v>
      </c>
      <c r="F2290" t="str">
        <f t="shared" si="71"/>
        <v>Desktop</v>
      </c>
      <c r="G2290">
        <v>9</v>
      </c>
      <c r="H2290">
        <v>0</v>
      </c>
      <c r="I2290">
        <v>0</v>
      </c>
    </row>
    <row r="2291" spans="1:9">
      <c r="A2291" t="s">
        <v>2309</v>
      </c>
      <c r="B2291" t="s">
        <v>15</v>
      </c>
      <c r="C2291" t="str">
        <f t="shared" si="70"/>
        <v>B</v>
      </c>
      <c r="D2291" t="s">
        <v>20</v>
      </c>
      <c r="E2291" t="s">
        <v>10</v>
      </c>
      <c r="F2291" t="str">
        <f t="shared" si="71"/>
        <v>Mobile</v>
      </c>
      <c r="G2291">
        <v>5</v>
      </c>
      <c r="H2291">
        <v>1</v>
      </c>
      <c r="I2291">
        <v>1326</v>
      </c>
    </row>
    <row r="2292" spans="1:9">
      <c r="A2292" t="s">
        <v>2310</v>
      </c>
      <c r="B2292" t="s">
        <v>15</v>
      </c>
      <c r="C2292" t="str">
        <f t="shared" si="70"/>
        <v>B</v>
      </c>
      <c r="D2292" t="s">
        <v>20</v>
      </c>
      <c r="E2292" t="s">
        <v>10</v>
      </c>
      <c r="F2292" t="str">
        <f t="shared" si="71"/>
        <v>Mobile</v>
      </c>
      <c r="G2292">
        <v>7</v>
      </c>
      <c r="H2292">
        <v>0</v>
      </c>
      <c r="I2292">
        <v>0</v>
      </c>
    </row>
    <row r="2293" spans="1:9">
      <c r="A2293" t="s">
        <v>2311</v>
      </c>
      <c r="B2293" t="s">
        <v>15</v>
      </c>
      <c r="C2293" t="str">
        <f t="shared" si="70"/>
        <v>B</v>
      </c>
      <c r="D2293" t="s">
        <v>9</v>
      </c>
      <c r="E2293" t="s">
        <v>10</v>
      </c>
      <c r="F2293" t="str">
        <f t="shared" si="71"/>
        <v>Mobile</v>
      </c>
      <c r="G2293">
        <v>6</v>
      </c>
      <c r="H2293">
        <v>0</v>
      </c>
      <c r="I2293">
        <v>0</v>
      </c>
    </row>
    <row r="2294" spans="1:9">
      <c r="A2294" t="s">
        <v>2312</v>
      </c>
      <c r="B2294" t="s">
        <v>8</v>
      </c>
      <c r="C2294" t="str">
        <f t="shared" si="70"/>
        <v>A</v>
      </c>
      <c r="D2294" t="s">
        <v>20</v>
      </c>
      <c r="E2294" t="s">
        <v>16</v>
      </c>
      <c r="F2294" t="str">
        <f t="shared" si="71"/>
        <v>Mobile</v>
      </c>
      <c r="G2294">
        <v>7</v>
      </c>
      <c r="H2294">
        <v>0</v>
      </c>
      <c r="I2294">
        <v>0</v>
      </c>
    </row>
    <row r="2295" spans="1:9">
      <c r="A2295" t="s">
        <v>2313</v>
      </c>
      <c r="B2295" t="s">
        <v>12</v>
      </c>
      <c r="C2295" t="str">
        <f t="shared" si="70"/>
        <v>A</v>
      </c>
      <c r="D2295" t="s">
        <v>9</v>
      </c>
      <c r="E2295" t="s">
        <v>10</v>
      </c>
      <c r="F2295" t="str">
        <f t="shared" si="71"/>
        <v>Mobile</v>
      </c>
      <c r="G2295">
        <v>8</v>
      </c>
      <c r="H2295">
        <v>0</v>
      </c>
      <c r="I2295">
        <v>0</v>
      </c>
    </row>
    <row r="2296" spans="1:9">
      <c r="A2296" t="s">
        <v>2314</v>
      </c>
      <c r="B2296" t="s">
        <v>8</v>
      </c>
      <c r="C2296" t="str">
        <f t="shared" si="70"/>
        <v>A</v>
      </c>
      <c r="D2296" t="s">
        <v>13</v>
      </c>
      <c r="E2296" t="s">
        <v>33</v>
      </c>
      <c r="F2296" t="str">
        <f t="shared" si="71"/>
        <v>Desktop</v>
      </c>
      <c r="G2296">
        <v>6</v>
      </c>
      <c r="H2296">
        <v>0</v>
      </c>
      <c r="I2296">
        <v>0</v>
      </c>
    </row>
    <row r="2297" spans="1:9">
      <c r="A2297" t="s">
        <v>2315</v>
      </c>
      <c r="B2297" t="s">
        <v>8</v>
      </c>
      <c r="C2297" t="str">
        <f t="shared" si="70"/>
        <v>A</v>
      </c>
      <c r="D2297" t="s">
        <v>20</v>
      </c>
      <c r="E2297" t="s">
        <v>16</v>
      </c>
      <c r="F2297" t="str">
        <f t="shared" si="71"/>
        <v>Mobile</v>
      </c>
      <c r="G2297">
        <v>7</v>
      </c>
      <c r="H2297">
        <v>1</v>
      </c>
      <c r="I2297">
        <v>856.23</v>
      </c>
    </row>
    <row r="2298" spans="1:9">
      <c r="A2298" t="s">
        <v>2316</v>
      </c>
      <c r="B2298" t="s">
        <v>15</v>
      </c>
      <c r="C2298" t="str">
        <f t="shared" si="70"/>
        <v>B</v>
      </c>
      <c r="D2298" t="s">
        <v>18</v>
      </c>
      <c r="E2298" t="s">
        <v>10</v>
      </c>
      <c r="F2298" t="str">
        <f t="shared" si="71"/>
        <v>Mobile</v>
      </c>
      <c r="G2298">
        <v>9</v>
      </c>
      <c r="H2298">
        <v>0</v>
      </c>
      <c r="I2298">
        <v>0</v>
      </c>
    </row>
    <row r="2299" spans="1:9">
      <c r="A2299" t="s">
        <v>2317</v>
      </c>
      <c r="B2299" t="s">
        <v>8</v>
      </c>
      <c r="C2299" t="str">
        <f t="shared" si="70"/>
        <v>A</v>
      </c>
      <c r="D2299" t="s">
        <v>20</v>
      </c>
      <c r="E2299" t="s">
        <v>23</v>
      </c>
      <c r="F2299" t="str">
        <f t="shared" si="71"/>
        <v>Desktop</v>
      </c>
      <c r="G2299">
        <v>7</v>
      </c>
      <c r="H2299">
        <v>0</v>
      </c>
      <c r="I2299">
        <v>0</v>
      </c>
    </row>
    <row r="2300" spans="1:9">
      <c r="A2300" t="s">
        <v>2318</v>
      </c>
      <c r="B2300" t="s">
        <v>8</v>
      </c>
      <c r="C2300" t="str">
        <f t="shared" si="70"/>
        <v>A</v>
      </c>
      <c r="D2300" t="s">
        <v>9</v>
      </c>
      <c r="E2300" t="s">
        <v>10</v>
      </c>
      <c r="F2300" t="str">
        <f t="shared" si="71"/>
        <v>Mobile</v>
      </c>
      <c r="G2300">
        <v>3</v>
      </c>
      <c r="H2300">
        <v>0</v>
      </c>
      <c r="I2300">
        <v>0</v>
      </c>
    </row>
    <row r="2301" spans="1:9">
      <c r="A2301" t="s">
        <v>2319</v>
      </c>
      <c r="B2301" t="s">
        <v>15</v>
      </c>
      <c r="C2301" t="str">
        <f t="shared" si="70"/>
        <v>B</v>
      </c>
      <c r="D2301" t="s">
        <v>20</v>
      </c>
      <c r="E2301" t="s">
        <v>33</v>
      </c>
      <c r="F2301" t="str">
        <f t="shared" si="71"/>
        <v>Desktop</v>
      </c>
      <c r="G2301">
        <v>4</v>
      </c>
      <c r="H2301">
        <v>0</v>
      </c>
      <c r="I2301">
        <v>0</v>
      </c>
    </row>
    <row r="2302" spans="1:9">
      <c r="A2302" t="s">
        <v>2320</v>
      </c>
      <c r="B2302" t="s">
        <v>15</v>
      </c>
      <c r="C2302" t="str">
        <f t="shared" si="70"/>
        <v>B</v>
      </c>
      <c r="D2302" t="s">
        <v>9</v>
      </c>
      <c r="E2302" t="s">
        <v>23</v>
      </c>
      <c r="F2302" t="str">
        <f t="shared" si="71"/>
        <v>Desktop</v>
      </c>
      <c r="G2302">
        <v>9</v>
      </c>
      <c r="H2302">
        <v>0</v>
      </c>
      <c r="I2302">
        <v>0</v>
      </c>
    </row>
    <row r="2303" spans="1:9">
      <c r="A2303" t="s">
        <v>2321</v>
      </c>
      <c r="B2303" t="s">
        <v>15</v>
      </c>
      <c r="C2303" t="str">
        <f t="shared" si="70"/>
        <v>B</v>
      </c>
      <c r="D2303" t="s">
        <v>20</v>
      </c>
      <c r="E2303" t="s">
        <v>10</v>
      </c>
      <c r="F2303" t="str">
        <f t="shared" si="71"/>
        <v>Mobile</v>
      </c>
      <c r="G2303">
        <v>8</v>
      </c>
      <c r="H2303">
        <v>0</v>
      </c>
      <c r="I2303">
        <v>0</v>
      </c>
    </row>
    <row r="2304" spans="1:9">
      <c r="A2304" t="s">
        <v>2322</v>
      </c>
      <c r="B2304" t="s">
        <v>15</v>
      </c>
      <c r="C2304" t="str">
        <f t="shared" si="70"/>
        <v>B</v>
      </c>
      <c r="D2304" t="s">
        <v>13</v>
      </c>
      <c r="E2304" t="s">
        <v>10</v>
      </c>
      <c r="F2304" t="str">
        <f t="shared" si="71"/>
        <v>Mobile</v>
      </c>
      <c r="G2304">
        <v>7</v>
      </c>
      <c r="H2304">
        <v>0</v>
      </c>
      <c r="I2304">
        <v>0</v>
      </c>
    </row>
    <row r="2305" spans="1:9">
      <c r="A2305" t="s">
        <v>2323</v>
      </c>
      <c r="B2305" t="s">
        <v>29</v>
      </c>
      <c r="C2305" t="str">
        <f t="shared" si="70"/>
        <v>B</v>
      </c>
      <c r="D2305" t="s">
        <v>13</v>
      </c>
      <c r="E2305" t="s">
        <v>10</v>
      </c>
      <c r="F2305" t="str">
        <f t="shared" si="71"/>
        <v>Mobile</v>
      </c>
      <c r="G2305">
        <v>7</v>
      </c>
      <c r="H2305">
        <v>0</v>
      </c>
      <c r="I2305">
        <v>0</v>
      </c>
    </row>
    <row r="2306" spans="1:9">
      <c r="A2306" t="s">
        <v>2324</v>
      </c>
      <c r="B2306" t="s">
        <v>8</v>
      </c>
      <c r="C2306" t="str">
        <f t="shared" ref="C2306:C2369" si="72">IF(OR(B2306="control", B2306="A"), "A", "B")</f>
        <v>A</v>
      </c>
      <c r="D2306" t="s">
        <v>18</v>
      </c>
      <c r="E2306" t="s">
        <v>83</v>
      </c>
      <c r="F2306" t="str">
        <f t="shared" ref="F2306:F2369" si="73">PROPER(E2306)</f>
        <v>Tablet</v>
      </c>
      <c r="G2306">
        <v>8</v>
      </c>
      <c r="H2306">
        <v>1</v>
      </c>
      <c r="I2306">
        <v>1122.6300000000001</v>
      </c>
    </row>
    <row r="2307" spans="1:9">
      <c r="A2307" t="s">
        <v>2325</v>
      </c>
      <c r="B2307" t="s">
        <v>8</v>
      </c>
      <c r="C2307" t="str">
        <f t="shared" si="72"/>
        <v>A</v>
      </c>
      <c r="D2307" t="s">
        <v>9</v>
      </c>
      <c r="E2307" t="s">
        <v>10</v>
      </c>
      <c r="F2307" t="str">
        <f t="shared" si="73"/>
        <v>Mobile</v>
      </c>
      <c r="G2307">
        <v>5</v>
      </c>
      <c r="H2307">
        <v>0</v>
      </c>
      <c r="I2307">
        <v>0</v>
      </c>
    </row>
    <row r="2308" spans="1:9">
      <c r="A2308" t="s">
        <v>2326</v>
      </c>
      <c r="B2308" t="s">
        <v>8</v>
      </c>
      <c r="C2308" t="str">
        <f t="shared" si="72"/>
        <v>A</v>
      </c>
      <c r="D2308" t="s">
        <v>9</v>
      </c>
      <c r="E2308" t="s">
        <v>23</v>
      </c>
      <c r="F2308" t="str">
        <f t="shared" si="73"/>
        <v>Desktop</v>
      </c>
      <c r="G2308">
        <v>5</v>
      </c>
      <c r="H2308">
        <v>0</v>
      </c>
      <c r="I2308">
        <v>0</v>
      </c>
    </row>
    <row r="2309" spans="1:9">
      <c r="A2309" t="s">
        <v>2327</v>
      </c>
      <c r="B2309" t="s">
        <v>8</v>
      </c>
      <c r="C2309" t="str">
        <f t="shared" si="72"/>
        <v>A</v>
      </c>
      <c r="D2309" t="s">
        <v>9</v>
      </c>
      <c r="E2309" t="s">
        <v>10</v>
      </c>
      <c r="F2309" t="str">
        <f t="shared" si="73"/>
        <v>Mobile</v>
      </c>
      <c r="G2309">
        <v>3</v>
      </c>
      <c r="H2309">
        <v>0</v>
      </c>
      <c r="I2309">
        <v>0</v>
      </c>
    </row>
    <row r="2310" spans="1:9">
      <c r="A2310" t="s">
        <v>2328</v>
      </c>
      <c r="B2310" t="s">
        <v>8</v>
      </c>
      <c r="C2310" t="str">
        <f t="shared" si="72"/>
        <v>A</v>
      </c>
      <c r="D2310" t="s">
        <v>20</v>
      </c>
      <c r="E2310" t="s">
        <v>33</v>
      </c>
      <c r="F2310" t="str">
        <f t="shared" si="73"/>
        <v>Desktop</v>
      </c>
      <c r="G2310">
        <v>3</v>
      </c>
      <c r="H2310">
        <v>0</v>
      </c>
      <c r="I2310">
        <v>0</v>
      </c>
    </row>
    <row r="2311" spans="1:9">
      <c r="A2311" t="s">
        <v>2329</v>
      </c>
      <c r="B2311" t="s">
        <v>15</v>
      </c>
      <c r="C2311" t="str">
        <f t="shared" si="72"/>
        <v>B</v>
      </c>
      <c r="D2311" t="s">
        <v>20</v>
      </c>
      <c r="E2311" t="s">
        <v>10</v>
      </c>
      <c r="F2311" t="str">
        <f t="shared" si="73"/>
        <v>Mobile</v>
      </c>
      <c r="G2311">
        <v>4</v>
      </c>
      <c r="H2311">
        <v>0</v>
      </c>
      <c r="I2311">
        <v>0</v>
      </c>
    </row>
    <row r="2312" spans="1:9">
      <c r="A2312" t="s">
        <v>2330</v>
      </c>
      <c r="B2312" t="s">
        <v>15</v>
      </c>
      <c r="C2312" t="str">
        <f t="shared" si="72"/>
        <v>B</v>
      </c>
      <c r="D2312" t="s">
        <v>20</v>
      </c>
      <c r="E2312" t="s">
        <v>23</v>
      </c>
      <c r="F2312" t="str">
        <f t="shared" si="73"/>
        <v>Desktop</v>
      </c>
      <c r="G2312">
        <v>5</v>
      </c>
      <c r="H2312">
        <v>0</v>
      </c>
      <c r="I2312">
        <v>0</v>
      </c>
    </row>
    <row r="2313" spans="1:9">
      <c r="A2313" t="s">
        <v>2331</v>
      </c>
      <c r="B2313" t="s">
        <v>15</v>
      </c>
      <c r="C2313" t="str">
        <f t="shared" si="72"/>
        <v>B</v>
      </c>
      <c r="D2313" t="s">
        <v>20</v>
      </c>
      <c r="E2313" t="s">
        <v>10</v>
      </c>
      <c r="F2313" t="str">
        <f t="shared" si="73"/>
        <v>Mobile</v>
      </c>
      <c r="G2313">
        <v>9</v>
      </c>
      <c r="H2313">
        <v>0</v>
      </c>
      <c r="I2313">
        <v>0</v>
      </c>
    </row>
    <row r="2314" spans="1:9">
      <c r="A2314" t="s">
        <v>2332</v>
      </c>
      <c r="B2314" t="s">
        <v>8</v>
      </c>
      <c r="C2314" t="str">
        <f t="shared" si="72"/>
        <v>A</v>
      </c>
      <c r="D2314" t="s">
        <v>20</v>
      </c>
      <c r="E2314" t="s">
        <v>23</v>
      </c>
      <c r="F2314" t="str">
        <f t="shared" si="73"/>
        <v>Desktop</v>
      </c>
      <c r="G2314">
        <v>7</v>
      </c>
      <c r="H2314">
        <v>0</v>
      </c>
      <c r="I2314">
        <v>0</v>
      </c>
    </row>
    <row r="2315" spans="1:9">
      <c r="A2315" t="s">
        <v>2333</v>
      </c>
      <c r="B2315" t="s">
        <v>15</v>
      </c>
      <c r="C2315" t="str">
        <f t="shared" si="72"/>
        <v>B</v>
      </c>
      <c r="D2315" t="s">
        <v>13</v>
      </c>
      <c r="E2315" t="s">
        <v>10</v>
      </c>
      <c r="F2315" t="str">
        <f t="shared" si="73"/>
        <v>Mobile</v>
      </c>
      <c r="G2315">
        <v>5</v>
      </c>
      <c r="H2315">
        <v>0</v>
      </c>
      <c r="I2315">
        <v>0</v>
      </c>
    </row>
    <row r="2316" spans="1:9">
      <c r="A2316" t="s">
        <v>2334</v>
      </c>
      <c r="B2316" t="s">
        <v>12</v>
      </c>
      <c r="C2316" t="str">
        <f t="shared" si="72"/>
        <v>A</v>
      </c>
      <c r="D2316" t="s">
        <v>20</v>
      </c>
      <c r="E2316" t="s">
        <v>10</v>
      </c>
      <c r="F2316" t="str">
        <f t="shared" si="73"/>
        <v>Mobile</v>
      </c>
      <c r="G2316">
        <v>8</v>
      </c>
      <c r="H2316">
        <v>0</v>
      </c>
      <c r="I2316">
        <v>0</v>
      </c>
    </row>
    <row r="2317" spans="1:9">
      <c r="A2317" t="s">
        <v>2335</v>
      </c>
      <c r="B2317" t="s">
        <v>15</v>
      </c>
      <c r="C2317" t="str">
        <f t="shared" si="72"/>
        <v>B</v>
      </c>
      <c r="D2317" t="s">
        <v>13</v>
      </c>
      <c r="E2317" t="s">
        <v>10</v>
      </c>
      <c r="F2317" t="str">
        <f t="shared" si="73"/>
        <v>Mobile</v>
      </c>
      <c r="G2317">
        <v>7</v>
      </c>
      <c r="H2317">
        <v>0</v>
      </c>
      <c r="I2317">
        <v>0</v>
      </c>
    </row>
    <row r="2318" spans="1:9">
      <c r="A2318" t="s">
        <v>2336</v>
      </c>
      <c r="B2318" t="s">
        <v>8</v>
      </c>
      <c r="C2318" t="str">
        <f t="shared" si="72"/>
        <v>A</v>
      </c>
      <c r="D2318" t="s">
        <v>20</v>
      </c>
      <c r="E2318" t="s">
        <v>23</v>
      </c>
      <c r="F2318" t="str">
        <f t="shared" si="73"/>
        <v>Desktop</v>
      </c>
      <c r="G2318">
        <v>5</v>
      </c>
      <c r="H2318">
        <v>0</v>
      </c>
      <c r="I2318">
        <v>0</v>
      </c>
    </row>
    <row r="2319" spans="1:9">
      <c r="A2319" t="s">
        <v>2337</v>
      </c>
      <c r="B2319" t="s">
        <v>15</v>
      </c>
      <c r="C2319" t="str">
        <f t="shared" si="72"/>
        <v>B</v>
      </c>
      <c r="D2319" t="s">
        <v>20</v>
      </c>
      <c r="E2319" t="s">
        <v>10</v>
      </c>
      <c r="F2319" t="str">
        <f t="shared" si="73"/>
        <v>Mobile</v>
      </c>
      <c r="G2319">
        <v>6</v>
      </c>
      <c r="H2319">
        <v>0</v>
      </c>
      <c r="I2319">
        <v>0</v>
      </c>
    </row>
    <row r="2320" spans="1:9">
      <c r="A2320" t="s">
        <v>2338</v>
      </c>
      <c r="B2320" t="s">
        <v>8</v>
      </c>
      <c r="C2320" t="str">
        <f t="shared" si="72"/>
        <v>A</v>
      </c>
      <c r="D2320" t="s">
        <v>13</v>
      </c>
      <c r="E2320" t="s">
        <v>23</v>
      </c>
      <c r="F2320" t="str">
        <f t="shared" si="73"/>
        <v>Desktop</v>
      </c>
      <c r="G2320">
        <v>5</v>
      </c>
      <c r="H2320">
        <v>0</v>
      </c>
      <c r="I2320">
        <v>0</v>
      </c>
    </row>
    <row r="2321" spans="1:9">
      <c r="A2321" t="s">
        <v>2339</v>
      </c>
      <c r="B2321" t="s">
        <v>8</v>
      </c>
      <c r="C2321" t="str">
        <f t="shared" si="72"/>
        <v>A</v>
      </c>
      <c r="D2321" t="s">
        <v>9</v>
      </c>
      <c r="E2321" t="s">
        <v>10</v>
      </c>
      <c r="F2321" t="str">
        <f t="shared" si="73"/>
        <v>Mobile</v>
      </c>
      <c r="G2321">
        <v>6</v>
      </c>
      <c r="H2321">
        <v>0</v>
      </c>
      <c r="I2321">
        <v>0</v>
      </c>
    </row>
    <row r="2322" spans="1:9">
      <c r="A2322" t="s">
        <v>2340</v>
      </c>
      <c r="B2322" t="s">
        <v>8</v>
      </c>
      <c r="C2322" t="str">
        <f t="shared" si="72"/>
        <v>A</v>
      </c>
      <c r="D2322" t="s">
        <v>13</v>
      </c>
      <c r="E2322" t="s">
        <v>16</v>
      </c>
      <c r="F2322" t="str">
        <f t="shared" si="73"/>
        <v>Mobile</v>
      </c>
      <c r="G2322">
        <v>4</v>
      </c>
      <c r="H2322">
        <v>0</v>
      </c>
      <c r="I2322">
        <v>0</v>
      </c>
    </row>
    <row r="2323" spans="1:9">
      <c r="A2323" t="s">
        <v>2341</v>
      </c>
      <c r="B2323" t="s">
        <v>15</v>
      </c>
      <c r="C2323" t="str">
        <f t="shared" si="72"/>
        <v>B</v>
      </c>
      <c r="D2323" t="s">
        <v>13</v>
      </c>
      <c r="E2323" t="s">
        <v>33</v>
      </c>
      <c r="F2323" t="str">
        <f t="shared" si="73"/>
        <v>Desktop</v>
      </c>
      <c r="G2323">
        <v>5</v>
      </c>
      <c r="H2323">
        <v>0</v>
      </c>
      <c r="I2323">
        <v>0</v>
      </c>
    </row>
    <row r="2324" spans="1:9">
      <c r="A2324" t="s">
        <v>2342</v>
      </c>
      <c r="B2324" t="s">
        <v>15</v>
      </c>
      <c r="C2324" t="str">
        <f t="shared" si="72"/>
        <v>B</v>
      </c>
      <c r="D2324" t="s">
        <v>20</v>
      </c>
      <c r="E2324" t="s">
        <v>10</v>
      </c>
      <c r="F2324" t="str">
        <f t="shared" si="73"/>
        <v>Mobile</v>
      </c>
      <c r="G2324">
        <v>8</v>
      </c>
      <c r="H2324">
        <v>0</v>
      </c>
      <c r="I2324">
        <v>0</v>
      </c>
    </row>
    <row r="2325" spans="1:9">
      <c r="A2325" t="s">
        <v>2343</v>
      </c>
      <c r="B2325" t="s">
        <v>8</v>
      </c>
      <c r="C2325" t="str">
        <f t="shared" si="72"/>
        <v>A</v>
      </c>
      <c r="D2325" t="s">
        <v>13</v>
      </c>
      <c r="E2325" t="s">
        <v>10</v>
      </c>
      <c r="F2325" t="str">
        <f t="shared" si="73"/>
        <v>Mobile</v>
      </c>
      <c r="G2325">
        <v>3</v>
      </c>
      <c r="H2325">
        <v>0</v>
      </c>
      <c r="I2325">
        <v>0</v>
      </c>
    </row>
    <row r="2326" spans="1:9">
      <c r="A2326" t="s">
        <v>2344</v>
      </c>
      <c r="B2326" t="s">
        <v>8</v>
      </c>
      <c r="C2326" t="str">
        <f t="shared" si="72"/>
        <v>A</v>
      </c>
      <c r="D2326" t="s">
        <v>20</v>
      </c>
      <c r="E2326" t="s">
        <v>10</v>
      </c>
      <c r="F2326" t="str">
        <f t="shared" si="73"/>
        <v>Mobile</v>
      </c>
      <c r="G2326">
        <v>3</v>
      </c>
      <c r="H2326">
        <v>0</v>
      </c>
      <c r="I2326">
        <v>0</v>
      </c>
    </row>
    <row r="2327" spans="1:9">
      <c r="A2327" t="s">
        <v>2345</v>
      </c>
      <c r="B2327" t="s">
        <v>8</v>
      </c>
      <c r="C2327" t="str">
        <f t="shared" si="72"/>
        <v>A</v>
      </c>
      <c r="D2327" t="s">
        <v>20</v>
      </c>
      <c r="E2327" t="s">
        <v>10</v>
      </c>
      <c r="F2327" t="str">
        <f t="shared" si="73"/>
        <v>Mobile</v>
      </c>
      <c r="G2327">
        <v>7</v>
      </c>
      <c r="H2327">
        <v>0</v>
      </c>
      <c r="I2327">
        <v>0</v>
      </c>
    </row>
    <row r="2328" spans="1:9">
      <c r="A2328" t="s">
        <v>2346</v>
      </c>
      <c r="B2328" t="s">
        <v>8</v>
      </c>
      <c r="C2328" t="str">
        <f t="shared" si="72"/>
        <v>A</v>
      </c>
      <c r="D2328" t="s">
        <v>20</v>
      </c>
      <c r="E2328" t="s">
        <v>10</v>
      </c>
      <c r="F2328" t="str">
        <f t="shared" si="73"/>
        <v>Mobile</v>
      </c>
      <c r="G2328">
        <v>5</v>
      </c>
      <c r="H2328">
        <v>1</v>
      </c>
      <c r="I2328">
        <v>1680.3</v>
      </c>
    </row>
    <row r="2329" spans="1:9">
      <c r="A2329" t="s">
        <v>2347</v>
      </c>
      <c r="B2329" t="s">
        <v>8</v>
      </c>
      <c r="C2329" t="str">
        <f t="shared" si="72"/>
        <v>A</v>
      </c>
      <c r="D2329" t="s">
        <v>20</v>
      </c>
      <c r="E2329" t="s">
        <v>23</v>
      </c>
      <c r="F2329" t="str">
        <f t="shared" si="73"/>
        <v>Desktop</v>
      </c>
      <c r="G2329">
        <v>4</v>
      </c>
      <c r="H2329">
        <v>0</v>
      </c>
      <c r="I2329">
        <v>0</v>
      </c>
    </row>
    <row r="2330" spans="1:9">
      <c r="A2330" t="s">
        <v>2348</v>
      </c>
      <c r="B2330" t="s">
        <v>8</v>
      </c>
      <c r="C2330" t="str">
        <f t="shared" si="72"/>
        <v>A</v>
      </c>
      <c r="D2330" t="s">
        <v>20</v>
      </c>
      <c r="E2330" t="s">
        <v>23</v>
      </c>
      <c r="F2330" t="str">
        <f t="shared" si="73"/>
        <v>Desktop</v>
      </c>
      <c r="G2330">
        <v>6</v>
      </c>
      <c r="H2330">
        <v>0</v>
      </c>
      <c r="I2330">
        <v>0</v>
      </c>
    </row>
    <row r="2331" spans="1:9">
      <c r="A2331" t="s">
        <v>2349</v>
      </c>
      <c r="B2331" t="s">
        <v>15</v>
      </c>
      <c r="C2331" t="str">
        <f t="shared" si="72"/>
        <v>B</v>
      </c>
      <c r="D2331" t="s">
        <v>18</v>
      </c>
      <c r="E2331" t="s">
        <v>33</v>
      </c>
      <c r="F2331" t="str">
        <f t="shared" si="73"/>
        <v>Desktop</v>
      </c>
      <c r="G2331">
        <v>6</v>
      </c>
      <c r="H2331">
        <v>0</v>
      </c>
      <c r="I2331">
        <v>0</v>
      </c>
    </row>
    <row r="2332" spans="1:9">
      <c r="A2332" t="s">
        <v>2350</v>
      </c>
      <c r="B2332" t="s">
        <v>8</v>
      </c>
      <c r="C2332" t="str">
        <f t="shared" si="72"/>
        <v>A</v>
      </c>
      <c r="D2332" t="s">
        <v>18</v>
      </c>
      <c r="E2332" t="s">
        <v>10</v>
      </c>
      <c r="F2332" t="str">
        <f t="shared" si="73"/>
        <v>Mobile</v>
      </c>
      <c r="G2332">
        <v>3</v>
      </c>
      <c r="H2332">
        <v>1</v>
      </c>
      <c r="I2332">
        <v>1569.09</v>
      </c>
    </row>
    <row r="2333" spans="1:9">
      <c r="A2333" t="s">
        <v>2351</v>
      </c>
      <c r="B2333" t="s">
        <v>8</v>
      </c>
      <c r="C2333" t="str">
        <f t="shared" si="72"/>
        <v>A</v>
      </c>
      <c r="D2333" t="s">
        <v>20</v>
      </c>
      <c r="E2333" t="s">
        <v>23</v>
      </c>
      <c r="F2333" t="str">
        <f t="shared" si="73"/>
        <v>Desktop</v>
      </c>
      <c r="G2333">
        <v>5</v>
      </c>
      <c r="H2333">
        <v>1</v>
      </c>
      <c r="I2333">
        <v>1252.27</v>
      </c>
    </row>
    <row r="2334" spans="1:9">
      <c r="A2334" t="s">
        <v>2352</v>
      </c>
      <c r="B2334" t="s">
        <v>8</v>
      </c>
      <c r="C2334" t="str">
        <f t="shared" si="72"/>
        <v>A</v>
      </c>
      <c r="D2334" t="s">
        <v>20</v>
      </c>
      <c r="E2334" t="s">
        <v>10</v>
      </c>
      <c r="F2334" t="str">
        <f t="shared" si="73"/>
        <v>Mobile</v>
      </c>
      <c r="G2334">
        <v>3</v>
      </c>
      <c r="H2334">
        <v>0</v>
      </c>
      <c r="I2334">
        <v>0</v>
      </c>
    </row>
    <row r="2335" spans="1:9">
      <c r="A2335" t="s">
        <v>2353</v>
      </c>
      <c r="B2335" t="s">
        <v>12</v>
      </c>
      <c r="C2335" t="str">
        <f t="shared" si="72"/>
        <v>A</v>
      </c>
      <c r="D2335" t="s">
        <v>20</v>
      </c>
      <c r="E2335" t="s">
        <v>10</v>
      </c>
      <c r="F2335" t="str">
        <f t="shared" si="73"/>
        <v>Mobile</v>
      </c>
      <c r="G2335">
        <v>5</v>
      </c>
      <c r="H2335">
        <v>0</v>
      </c>
      <c r="I2335">
        <v>0</v>
      </c>
    </row>
    <row r="2336" spans="1:9">
      <c r="A2336" t="s">
        <v>2354</v>
      </c>
      <c r="B2336" t="s">
        <v>15</v>
      </c>
      <c r="C2336" t="str">
        <f t="shared" si="72"/>
        <v>B</v>
      </c>
      <c r="D2336" t="s">
        <v>20</v>
      </c>
      <c r="E2336" t="s">
        <v>10</v>
      </c>
      <c r="F2336" t="str">
        <f t="shared" si="73"/>
        <v>Mobile</v>
      </c>
      <c r="G2336">
        <v>7</v>
      </c>
      <c r="H2336">
        <v>1</v>
      </c>
      <c r="I2336">
        <v>979.84</v>
      </c>
    </row>
    <row r="2337" spans="1:9">
      <c r="A2337" t="s">
        <v>2355</v>
      </c>
      <c r="B2337" t="s">
        <v>15</v>
      </c>
      <c r="C2337" t="str">
        <f t="shared" si="72"/>
        <v>B</v>
      </c>
      <c r="D2337" t="s">
        <v>18</v>
      </c>
      <c r="E2337" t="s">
        <v>10</v>
      </c>
      <c r="F2337" t="str">
        <f t="shared" si="73"/>
        <v>Mobile</v>
      </c>
      <c r="G2337">
        <v>6</v>
      </c>
      <c r="H2337">
        <v>0</v>
      </c>
      <c r="I2337">
        <v>0</v>
      </c>
    </row>
    <row r="2338" spans="1:9">
      <c r="A2338" t="s">
        <v>2356</v>
      </c>
      <c r="B2338" t="s">
        <v>8</v>
      </c>
      <c r="C2338" t="str">
        <f t="shared" si="72"/>
        <v>A</v>
      </c>
      <c r="D2338" t="s">
        <v>20</v>
      </c>
      <c r="E2338" t="s">
        <v>10</v>
      </c>
      <c r="F2338" t="str">
        <f t="shared" si="73"/>
        <v>Mobile</v>
      </c>
      <c r="G2338">
        <v>1</v>
      </c>
      <c r="H2338">
        <v>0</v>
      </c>
      <c r="I2338">
        <v>0</v>
      </c>
    </row>
    <row r="2339" spans="1:9">
      <c r="A2339" t="s">
        <v>2357</v>
      </c>
      <c r="B2339" t="s">
        <v>15</v>
      </c>
      <c r="C2339" t="str">
        <f t="shared" si="72"/>
        <v>B</v>
      </c>
      <c r="D2339" t="s">
        <v>13</v>
      </c>
      <c r="E2339" t="s">
        <v>23</v>
      </c>
      <c r="F2339" t="str">
        <f t="shared" si="73"/>
        <v>Desktop</v>
      </c>
      <c r="G2339">
        <v>7</v>
      </c>
      <c r="H2339">
        <v>0</v>
      </c>
      <c r="I2339">
        <v>0</v>
      </c>
    </row>
    <row r="2340" spans="1:9">
      <c r="A2340" t="s">
        <v>2358</v>
      </c>
      <c r="B2340" t="s">
        <v>8</v>
      </c>
      <c r="C2340" t="str">
        <f t="shared" si="72"/>
        <v>A</v>
      </c>
      <c r="D2340" t="s">
        <v>20</v>
      </c>
      <c r="E2340" t="s">
        <v>33</v>
      </c>
      <c r="F2340" t="str">
        <f t="shared" si="73"/>
        <v>Desktop</v>
      </c>
      <c r="G2340">
        <v>8</v>
      </c>
      <c r="H2340">
        <v>0</v>
      </c>
      <c r="I2340">
        <v>0</v>
      </c>
    </row>
    <row r="2341" spans="1:9">
      <c r="A2341" t="s">
        <v>2359</v>
      </c>
      <c r="B2341" t="s">
        <v>15</v>
      </c>
      <c r="C2341" t="str">
        <f t="shared" si="72"/>
        <v>B</v>
      </c>
      <c r="D2341" t="s">
        <v>18</v>
      </c>
      <c r="E2341" t="s">
        <v>10</v>
      </c>
      <c r="F2341" t="str">
        <f t="shared" si="73"/>
        <v>Mobile</v>
      </c>
      <c r="G2341">
        <v>4</v>
      </c>
      <c r="H2341">
        <v>0</v>
      </c>
      <c r="I2341">
        <v>0</v>
      </c>
    </row>
    <row r="2342" spans="1:9">
      <c r="A2342" t="s">
        <v>2360</v>
      </c>
      <c r="B2342" t="s">
        <v>15</v>
      </c>
      <c r="C2342" t="str">
        <f t="shared" si="72"/>
        <v>B</v>
      </c>
      <c r="D2342" t="s">
        <v>20</v>
      </c>
      <c r="E2342" t="s">
        <v>10</v>
      </c>
      <c r="F2342" t="str">
        <f t="shared" si="73"/>
        <v>Mobile</v>
      </c>
      <c r="G2342">
        <v>4</v>
      </c>
      <c r="H2342">
        <v>0</v>
      </c>
      <c r="I2342">
        <v>0</v>
      </c>
    </row>
    <row r="2343" spans="1:9">
      <c r="A2343" t="s">
        <v>2361</v>
      </c>
      <c r="B2343" t="s">
        <v>15</v>
      </c>
      <c r="C2343" t="str">
        <f t="shared" si="72"/>
        <v>B</v>
      </c>
      <c r="D2343" t="s">
        <v>9</v>
      </c>
      <c r="E2343" t="s">
        <v>10</v>
      </c>
      <c r="F2343" t="str">
        <f t="shared" si="73"/>
        <v>Mobile</v>
      </c>
      <c r="G2343">
        <v>8</v>
      </c>
      <c r="H2343">
        <v>0</v>
      </c>
      <c r="I2343">
        <v>0</v>
      </c>
    </row>
    <row r="2344" spans="1:9">
      <c r="A2344" t="s">
        <v>2362</v>
      </c>
      <c r="B2344" t="s">
        <v>15</v>
      </c>
      <c r="C2344" t="str">
        <f t="shared" si="72"/>
        <v>B</v>
      </c>
      <c r="D2344" t="s">
        <v>20</v>
      </c>
      <c r="E2344" t="s">
        <v>23</v>
      </c>
      <c r="F2344" t="str">
        <f t="shared" si="73"/>
        <v>Desktop</v>
      </c>
      <c r="G2344">
        <v>3</v>
      </c>
      <c r="H2344">
        <v>0</v>
      </c>
      <c r="I2344">
        <v>0</v>
      </c>
    </row>
    <row r="2345" spans="1:9">
      <c r="A2345" t="s">
        <v>2363</v>
      </c>
      <c r="B2345" t="s">
        <v>15</v>
      </c>
      <c r="C2345" t="str">
        <f t="shared" si="72"/>
        <v>B</v>
      </c>
      <c r="D2345" t="s">
        <v>13</v>
      </c>
      <c r="E2345" t="s">
        <v>10</v>
      </c>
      <c r="F2345" t="str">
        <f t="shared" si="73"/>
        <v>Mobile</v>
      </c>
      <c r="G2345">
        <v>4</v>
      </c>
      <c r="H2345">
        <v>0</v>
      </c>
      <c r="I2345">
        <v>0</v>
      </c>
    </row>
    <row r="2346" spans="1:9">
      <c r="A2346" t="s">
        <v>2364</v>
      </c>
      <c r="B2346" t="s">
        <v>8</v>
      </c>
      <c r="C2346" t="str">
        <f t="shared" si="72"/>
        <v>A</v>
      </c>
      <c r="D2346" t="s">
        <v>20</v>
      </c>
      <c r="E2346" t="s">
        <v>23</v>
      </c>
      <c r="F2346" t="str">
        <f t="shared" si="73"/>
        <v>Desktop</v>
      </c>
      <c r="G2346">
        <v>9</v>
      </c>
      <c r="H2346">
        <v>0</v>
      </c>
      <c r="I2346">
        <v>0</v>
      </c>
    </row>
    <row r="2347" spans="1:9">
      <c r="A2347" t="s">
        <v>2365</v>
      </c>
      <c r="B2347" t="s">
        <v>15</v>
      </c>
      <c r="C2347" t="str">
        <f t="shared" si="72"/>
        <v>B</v>
      </c>
      <c r="D2347" t="s">
        <v>20</v>
      </c>
      <c r="E2347" t="s">
        <v>83</v>
      </c>
      <c r="F2347" t="str">
        <f t="shared" si="73"/>
        <v>Tablet</v>
      </c>
      <c r="G2347">
        <v>8</v>
      </c>
      <c r="H2347">
        <v>0</v>
      </c>
      <c r="I2347">
        <v>0</v>
      </c>
    </row>
    <row r="2348" spans="1:9">
      <c r="A2348" t="s">
        <v>2366</v>
      </c>
      <c r="B2348" t="s">
        <v>8</v>
      </c>
      <c r="C2348" t="str">
        <f t="shared" si="72"/>
        <v>A</v>
      </c>
      <c r="D2348" t="s">
        <v>18</v>
      </c>
      <c r="E2348" t="s">
        <v>33</v>
      </c>
      <c r="F2348" t="str">
        <f t="shared" si="73"/>
        <v>Desktop</v>
      </c>
      <c r="G2348">
        <v>10</v>
      </c>
      <c r="H2348">
        <v>0</v>
      </c>
      <c r="I2348">
        <v>0</v>
      </c>
    </row>
    <row r="2349" spans="1:9">
      <c r="A2349" t="s">
        <v>2367</v>
      </c>
      <c r="B2349" t="s">
        <v>15</v>
      </c>
      <c r="C2349" t="str">
        <f t="shared" si="72"/>
        <v>B</v>
      </c>
      <c r="D2349" t="s">
        <v>9</v>
      </c>
      <c r="E2349" t="s">
        <v>10</v>
      </c>
      <c r="F2349" t="str">
        <f t="shared" si="73"/>
        <v>Mobile</v>
      </c>
      <c r="G2349">
        <v>8</v>
      </c>
      <c r="H2349">
        <v>1</v>
      </c>
      <c r="I2349">
        <v>6548.25</v>
      </c>
    </row>
    <row r="2350" spans="1:9">
      <c r="A2350" t="s">
        <v>2368</v>
      </c>
      <c r="B2350" t="s">
        <v>8</v>
      </c>
      <c r="C2350" t="str">
        <f t="shared" si="72"/>
        <v>A</v>
      </c>
      <c r="D2350" t="s">
        <v>9</v>
      </c>
      <c r="E2350" t="s">
        <v>16</v>
      </c>
      <c r="F2350" t="str">
        <f t="shared" si="73"/>
        <v>Mobile</v>
      </c>
      <c r="G2350">
        <v>5</v>
      </c>
      <c r="H2350">
        <v>0</v>
      </c>
      <c r="I2350">
        <v>0</v>
      </c>
    </row>
    <row r="2351" spans="1:9">
      <c r="A2351" t="s">
        <v>2369</v>
      </c>
      <c r="B2351" t="s">
        <v>8</v>
      </c>
      <c r="C2351" t="str">
        <f t="shared" si="72"/>
        <v>A</v>
      </c>
      <c r="D2351" t="s">
        <v>13</v>
      </c>
      <c r="E2351" t="s">
        <v>23</v>
      </c>
      <c r="F2351" t="str">
        <f t="shared" si="73"/>
        <v>Desktop</v>
      </c>
      <c r="G2351">
        <v>8</v>
      </c>
      <c r="H2351">
        <v>0</v>
      </c>
      <c r="I2351">
        <v>0</v>
      </c>
    </row>
    <row r="2352" spans="1:9">
      <c r="A2352" t="s">
        <v>2370</v>
      </c>
      <c r="B2352" t="s">
        <v>8</v>
      </c>
      <c r="C2352" t="str">
        <f t="shared" si="72"/>
        <v>A</v>
      </c>
      <c r="D2352" t="s">
        <v>9</v>
      </c>
      <c r="E2352" t="s">
        <v>10</v>
      </c>
      <c r="F2352" t="str">
        <f t="shared" si="73"/>
        <v>Mobile</v>
      </c>
      <c r="G2352">
        <v>7</v>
      </c>
      <c r="H2352">
        <v>0</v>
      </c>
      <c r="I2352">
        <v>0</v>
      </c>
    </row>
    <row r="2353" spans="1:9">
      <c r="A2353" t="s">
        <v>2371</v>
      </c>
      <c r="B2353" t="s">
        <v>8</v>
      </c>
      <c r="C2353" t="str">
        <f t="shared" si="72"/>
        <v>A</v>
      </c>
      <c r="D2353" t="s">
        <v>20</v>
      </c>
      <c r="E2353" t="s">
        <v>23</v>
      </c>
      <c r="F2353" t="str">
        <f t="shared" si="73"/>
        <v>Desktop</v>
      </c>
      <c r="G2353">
        <v>9</v>
      </c>
      <c r="H2353">
        <v>0</v>
      </c>
      <c r="I2353">
        <v>0</v>
      </c>
    </row>
    <row r="2354" spans="1:9">
      <c r="A2354" t="s">
        <v>2372</v>
      </c>
      <c r="B2354" t="s">
        <v>15</v>
      </c>
      <c r="C2354" t="str">
        <f t="shared" si="72"/>
        <v>B</v>
      </c>
      <c r="D2354" t="s">
        <v>20</v>
      </c>
      <c r="E2354" t="s">
        <v>16</v>
      </c>
      <c r="F2354" t="str">
        <f t="shared" si="73"/>
        <v>Mobile</v>
      </c>
      <c r="G2354">
        <v>4</v>
      </c>
      <c r="H2354">
        <v>0</v>
      </c>
      <c r="I2354">
        <v>0</v>
      </c>
    </row>
    <row r="2355" spans="1:9">
      <c r="A2355" t="s">
        <v>2373</v>
      </c>
      <c r="B2355" t="s">
        <v>15</v>
      </c>
      <c r="C2355" t="str">
        <f t="shared" si="72"/>
        <v>B</v>
      </c>
      <c r="D2355" t="s">
        <v>20</v>
      </c>
      <c r="E2355" t="s">
        <v>10</v>
      </c>
      <c r="F2355" t="str">
        <f t="shared" si="73"/>
        <v>Mobile</v>
      </c>
      <c r="G2355">
        <v>6</v>
      </c>
      <c r="H2355">
        <v>0</v>
      </c>
      <c r="I2355">
        <v>0</v>
      </c>
    </row>
    <row r="2356" spans="1:9">
      <c r="A2356" t="s">
        <v>2374</v>
      </c>
      <c r="B2356" t="s">
        <v>8</v>
      </c>
      <c r="C2356" t="str">
        <f t="shared" si="72"/>
        <v>A</v>
      </c>
      <c r="D2356" t="s">
        <v>13</v>
      </c>
      <c r="E2356" t="s">
        <v>10</v>
      </c>
      <c r="F2356" t="str">
        <f t="shared" si="73"/>
        <v>Mobile</v>
      </c>
      <c r="G2356">
        <v>8</v>
      </c>
      <c r="H2356">
        <v>0</v>
      </c>
      <c r="I2356">
        <v>0</v>
      </c>
    </row>
    <row r="2357" spans="1:9">
      <c r="A2357" t="s">
        <v>2375</v>
      </c>
      <c r="B2357" t="s">
        <v>8</v>
      </c>
      <c r="C2357" t="str">
        <f t="shared" si="72"/>
        <v>A</v>
      </c>
      <c r="D2357" t="s">
        <v>20</v>
      </c>
      <c r="E2357" t="s">
        <v>10</v>
      </c>
      <c r="F2357" t="str">
        <f t="shared" si="73"/>
        <v>Mobile</v>
      </c>
      <c r="G2357">
        <v>10</v>
      </c>
      <c r="H2357">
        <v>0</v>
      </c>
      <c r="I2357">
        <v>0</v>
      </c>
    </row>
    <row r="2358" spans="1:9">
      <c r="A2358" t="s">
        <v>2376</v>
      </c>
      <c r="B2358" t="s">
        <v>15</v>
      </c>
      <c r="C2358" t="str">
        <f t="shared" si="72"/>
        <v>B</v>
      </c>
      <c r="D2358" t="s">
        <v>20</v>
      </c>
      <c r="E2358" t="s">
        <v>23</v>
      </c>
      <c r="F2358" t="str">
        <f t="shared" si="73"/>
        <v>Desktop</v>
      </c>
      <c r="G2358">
        <v>7</v>
      </c>
      <c r="H2358">
        <v>0</v>
      </c>
      <c r="I2358">
        <v>0</v>
      </c>
    </row>
    <row r="2359" spans="1:9">
      <c r="A2359" t="s">
        <v>2377</v>
      </c>
      <c r="B2359" t="s">
        <v>8</v>
      </c>
      <c r="C2359" t="str">
        <f t="shared" si="72"/>
        <v>A</v>
      </c>
      <c r="D2359" t="s">
        <v>13</v>
      </c>
      <c r="E2359" t="s">
        <v>10</v>
      </c>
      <c r="F2359" t="str">
        <f t="shared" si="73"/>
        <v>Mobile</v>
      </c>
      <c r="G2359">
        <v>5</v>
      </c>
      <c r="H2359">
        <v>0</v>
      </c>
      <c r="I2359">
        <v>0</v>
      </c>
    </row>
    <row r="2360" spans="1:9">
      <c r="A2360" t="s">
        <v>2378</v>
      </c>
      <c r="B2360" t="s">
        <v>15</v>
      </c>
      <c r="C2360" t="str">
        <f t="shared" si="72"/>
        <v>B</v>
      </c>
      <c r="D2360" t="s">
        <v>9</v>
      </c>
      <c r="E2360" t="s">
        <v>33</v>
      </c>
      <c r="F2360" t="str">
        <f t="shared" si="73"/>
        <v>Desktop</v>
      </c>
      <c r="G2360">
        <v>5</v>
      </c>
      <c r="H2360">
        <v>0</v>
      </c>
      <c r="I2360">
        <v>0</v>
      </c>
    </row>
    <row r="2361" spans="1:9">
      <c r="A2361" t="s">
        <v>2379</v>
      </c>
      <c r="B2361" t="s">
        <v>15</v>
      </c>
      <c r="C2361" t="str">
        <f t="shared" si="72"/>
        <v>B</v>
      </c>
      <c r="D2361" t="s">
        <v>20</v>
      </c>
      <c r="E2361" t="s">
        <v>23</v>
      </c>
      <c r="F2361" t="str">
        <f t="shared" si="73"/>
        <v>Desktop</v>
      </c>
      <c r="G2361">
        <v>4</v>
      </c>
      <c r="H2361">
        <v>0</v>
      </c>
      <c r="I2361">
        <v>0</v>
      </c>
    </row>
    <row r="2362" spans="1:9">
      <c r="A2362" t="s">
        <v>2380</v>
      </c>
      <c r="B2362" t="s">
        <v>15</v>
      </c>
      <c r="C2362" t="str">
        <f t="shared" si="72"/>
        <v>B</v>
      </c>
      <c r="D2362" t="s">
        <v>20</v>
      </c>
      <c r="E2362" t="s">
        <v>23</v>
      </c>
      <c r="F2362" t="str">
        <f t="shared" si="73"/>
        <v>Desktop</v>
      </c>
      <c r="G2362">
        <v>4</v>
      </c>
      <c r="H2362">
        <v>1</v>
      </c>
      <c r="I2362">
        <v>1106.48</v>
      </c>
    </row>
    <row r="2363" spans="1:9">
      <c r="A2363" t="s">
        <v>2381</v>
      </c>
      <c r="B2363" t="s">
        <v>15</v>
      </c>
      <c r="C2363" t="str">
        <f t="shared" si="72"/>
        <v>B</v>
      </c>
      <c r="D2363" t="s">
        <v>20</v>
      </c>
      <c r="E2363" t="s">
        <v>10</v>
      </c>
      <c r="F2363" t="str">
        <f t="shared" si="73"/>
        <v>Mobile</v>
      </c>
      <c r="G2363">
        <v>6</v>
      </c>
      <c r="H2363">
        <v>0</v>
      </c>
      <c r="I2363">
        <v>0</v>
      </c>
    </row>
    <row r="2364" spans="1:9">
      <c r="A2364" t="s">
        <v>2382</v>
      </c>
      <c r="B2364" t="s">
        <v>8</v>
      </c>
      <c r="C2364" t="str">
        <f t="shared" si="72"/>
        <v>A</v>
      </c>
      <c r="D2364" t="s">
        <v>20</v>
      </c>
      <c r="E2364" t="s">
        <v>23</v>
      </c>
      <c r="F2364" t="str">
        <f t="shared" si="73"/>
        <v>Desktop</v>
      </c>
      <c r="G2364">
        <v>8</v>
      </c>
      <c r="H2364">
        <v>0</v>
      </c>
      <c r="I2364">
        <v>0</v>
      </c>
    </row>
    <row r="2365" spans="1:9">
      <c r="A2365" t="s">
        <v>2383</v>
      </c>
      <c r="B2365" t="s">
        <v>15</v>
      </c>
      <c r="C2365" t="str">
        <f t="shared" si="72"/>
        <v>B</v>
      </c>
      <c r="D2365" t="s">
        <v>20</v>
      </c>
      <c r="E2365" t="s">
        <v>10</v>
      </c>
      <c r="F2365" t="str">
        <f t="shared" si="73"/>
        <v>Mobile</v>
      </c>
      <c r="G2365">
        <v>5</v>
      </c>
      <c r="H2365">
        <v>0</v>
      </c>
      <c r="I2365">
        <v>0</v>
      </c>
    </row>
    <row r="2366" spans="1:9">
      <c r="A2366" t="s">
        <v>2384</v>
      </c>
      <c r="B2366" t="s">
        <v>8</v>
      </c>
      <c r="C2366" t="str">
        <f t="shared" si="72"/>
        <v>A</v>
      </c>
      <c r="D2366" t="s">
        <v>13</v>
      </c>
      <c r="E2366" t="s">
        <v>10</v>
      </c>
      <c r="F2366" t="str">
        <f t="shared" si="73"/>
        <v>Mobile</v>
      </c>
      <c r="G2366">
        <v>7</v>
      </c>
      <c r="H2366">
        <v>1</v>
      </c>
      <c r="I2366">
        <v>2149.67</v>
      </c>
    </row>
    <row r="2367" spans="1:9">
      <c r="A2367" t="s">
        <v>2385</v>
      </c>
      <c r="B2367" t="s">
        <v>8</v>
      </c>
      <c r="C2367" t="str">
        <f t="shared" si="72"/>
        <v>A</v>
      </c>
      <c r="D2367" t="s">
        <v>13</v>
      </c>
      <c r="E2367" t="s">
        <v>23</v>
      </c>
      <c r="F2367" t="str">
        <f t="shared" si="73"/>
        <v>Desktop</v>
      </c>
      <c r="G2367">
        <v>4</v>
      </c>
      <c r="H2367">
        <v>1</v>
      </c>
      <c r="I2367">
        <v>2229.3200000000002</v>
      </c>
    </row>
    <row r="2368" spans="1:9">
      <c r="A2368" t="s">
        <v>2386</v>
      </c>
      <c r="B2368" t="s">
        <v>15</v>
      </c>
      <c r="C2368" t="str">
        <f t="shared" si="72"/>
        <v>B</v>
      </c>
      <c r="D2368" t="s">
        <v>13</v>
      </c>
      <c r="E2368" t="s">
        <v>10</v>
      </c>
      <c r="F2368" t="str">
        <f t="shared" si="73"/>
        <v>Mobile</v>
      </c>
      <c r="G2368">
        <v>6</v>
      </c>
      <c r="H2368">
        <v>0</v>
      </c>
      <c r="I2368">
        <v>0</v>
      </c>
    </row>
    <row r="2369" spans="1:9">
      <c r="A2369" t="s">
        <v>2387</v>
      </c>
      <c r="B2369" t="s">
        <v>8</v>
      </c>
      <c r="C2369" t="str">
        <f t="shared" si="72"/>
        <v>A</v>
      </c>
      <c r="D2369" t="s">
        <v>20</v>
      </c>
      <c r="E2369" t="s">
        <v>23</v>
      </c>
      <c r="F2369" t="str">
        <f t="shared" si="73"/>
        <v>Desktop</v>
      </c>
      <c r="G2369">
        <v>7</v>
      </c>
      <c r="H2369">
        <v>1</v>
      </c>
      <c r="I2369">
        <v>862.8</v>
      </c>
    </row>
    <row r="2370" spans="1:9">
      <c r="A2370" t="s">
        <v>2388</v>
      </c>
      <c r="B2370" t="s">
        <v>15</v>
      </c>
      <c r="C2370" t="str">
        <f t="shared" ref="C2370:C2433" si="74">IF(OR(B2370="control", B2370="A"), "A", "B")</f>
        <v>B</v>
      </c>
      <c r="D2370" t="s">
        <v>9</v>
      </c>
      <c r="E2370" t="s">
        <v>10</v>
      </c>
      <c r="F2370" t="str">
        <f t="shared" ref="F2370:F2433" si="75">PROPER(E2370)</f>
        <v>Mobile</v>
      </c>
      <c r="G2370">
        <v>9</v>
      </c>
      <c r="H2370">
        <v>0</v>
      </c>
      <c r="I2370">
        <v>0</v>
      </c>
    </row>
    <row r="2371" spans="1:9">
      <c r="A2371" t="s">
        <v>2389</v>
      </c>
      <c r="B2371" t="s">
        <v>15</v>
      </c>
      <c r="C2371" t="str">
        <f t="shared" si="74"/>
        <v>B</v>
      </c>
      <c r="D2371" t="s">
        <v>20</v>
      </c>
      <c r="E2371" t="s">
        <v>10</v>
      </c>
      <c r="F2371" t="str">
        <f t="shared" si="75"/>
        <v>Mobile</v>
      </c>
      <c r="G2371">
        <v>5</v>
      </c>
      <c r="H2371">
        <v>0</v>
      </c>
      <c r="I2371">
        <v>0</v>
      </c>
    </row>
    <row r="2372" spans="1:9">
      <c r="A2372" t="s">
        <v>2390</v>
      </c>
      <c r="B2372" t="s">
        <v>15</v>
      </c>
      <c r="C2372" t="str">
        <f t="shared" si="74"/>
        <v>B</v>
      </c>
      <c r="D2372" t="s">
        <v>13</v>
      </c>
      <c r="E2372" t="s">
        <v>10</v>
      </c>
      <c r="F2372" t="str">
        <f t="shared" si="75"/>
        <v>Mobile</v>
      </c>
      <c r="G2372">
        <v>9</v>
      </c>
      <c r="H2372">
        <v>1</v>
      </c>
      <c r="I2372">
        <v>2262.58</v>
      </c>
    </row>
    <row r="2373" spans="1:9">
      <c r="A2373" t="s">
        <v>2391</v>
      </c>
      <c r="B2373" t="s">
        <v>15</v>
      </c>
      <c r="C2373" t="str">
        <f t="shared" si="74"/>
        <v>B</v>
      </c>
      <c r="D2373" t="s">
        <v>9</v>
      </c>
      <c r="E2373" t="s">
        <v>83</v>
      </c>
      <c r="F2373" t="str">
        <f t="shared" si="75"/>
        <v>Tablet</v>
      </c>
      <c r="G2373">
        <v>2</v>
      </c>
      <c r="H2373">
        <v>1</v>
      </c>
      <c r="I2373">
        <v>3204.12</v>
      </c>
    </row>
    <row r="2374" spans="1:9">
      <c r="A2374" t="s">
        <v>2392</v>
      </c>
      <c r="B2374" t="s">
        <v>8</v>
      </c>
      <c r="C2374" t="str">
        <f t="shared" si="74"/>
        <v>A</v>
      </c>
      <c r="D2374" t="s">
        <v>20</v>
      </c>
      <c r="E2374" t="s">
        <v>23</v>
      </c>
      <c r="F2374" t="str">
        <f t="shared" si="75"/>
        <v>Desktop</v>
      </c>
      <c r="G2374">
        <v>5</v>
      </c>
      <c r="H2374">
        <v>0</v>
      </c>
      <c r="I2374">
        <v>0</v>
      </c>
    </row>
    <row r="2375" spans="1:9">
      <c r="A2375" t="s">
        <v>2393</v>
      </c>
      <c r="B2375" t="s">
        <v>8</v>
      </c>
      <c r="C2375" t="str">
        <f t="shared" si="74"/>
        <v>A</v>
      </c>
      <c r="D2375" t="s">
        <v>20</v>
      </c>
      <c r="E2375" t="s">
        <v>23</v>
      </c>
      <c r="F2375" t="str">
        <f t="shared" si="75"/>
        <v>Desktop</v>
      </c>
      <c r="G2375">
        <v>5</v>
      </c>
      <c r="H2375">
        <v>0</v>
      </c>
      <c r="I2375">
        <v>0</v>
      </c>
    </row>
    <row r="2376" spans="1:9">
      <c r="A2376" t="s">
        <v>2394</v>
      </c>
      <c r="B2376" t="s">
        <v>15</v>
      </c>
      <c r="C2376" t="str">
        <f t="shared" si="74"/>
        <v>B</v>
      </c>
      <c r="D2376" t="s">
        <v>9</v>
      </c>
      <c r="E2376" t="s">
        <v>10</v>
      </c>
      <c r="F2376" t="str">
        <f t="shared" si="75"/>
        <v>Mobile</v>
      </c>
      <c r="G2376">
        <v>14</v>
      </c>
      <c r="H2376">
        <v>0</v>
      </c>
      <c r="I2376">
        <v>0</v>
      </c>
    </row>
    <row r="2377" spans="1:9">
      <c r="A2377" t="s">
        <v>2395</v>
      </c>
      <c r="B2377" t="s">
        <v>8</v>
      </c>
      <c r="C2377" t="str">
        <f t="shared" si="74"/>
        <v>A</v>
      </c>
      <c r="D2377" t="s">
        <v>20</v>
      </c>
      <c r="E2377" t="s">
        <v>10</v>
      </c>
      <c r="F2377" t="str">
        <f t="shared" si="75"/>
        <v>Mobile</v>
      </c>
      <c r="G2377">
        <v>1</v>
      </c>
      <c r="H2377">
        <v>0</v>
      </c>
      <c r="I2377">
        <v>0</v>
      </c>
    </row>
    <row r="2378" spans="1:9">
      <c r="A2378" t="s">
        <v>2396</v>
      </c>
      <c r="B2378" t="s">
        <v>15</v>
      </c>
      <c r="C2378" t="str">
        <f t="shared" si="74"/>
        <v>B</v>
      </c>
      <c r="D2378" t="s">
        <v>13</v>
      </c>
      <c r="E2378" t="s">
        <v>83</v>
      </c>
      <c r="F2378" t="str">
        <f t="shared" si="75"/>
        <v>Tablet</v>
      </c>
      <c r="G2378">
        <v>5</v>
      </c>
      <c r="H2378">
        <v>1</v>
      </c>
      <c r="I2378">
        <v>2272.64</v>
      </c>
    </row>
    <row r="2379" spans="1:9">
      <c r="A2379" t="s">
        <v>2397</v>
      </c>
      <c r="B2379" t="s">
        <v>15</v>
      </c>
      <c r="C2379" t="str">
        <f t="shared" si="74"/>
        <v>B</v>
      </c>
      <c r="D2379" t="s">
        <v>20</v>
      </c>
      <c r="E2379" t="s">
        <v>10</v>
      </c>
      <c r="F2379" t="str">
        <f t="shared" si="75"/>
        <v>Mobile</v>
      </c>
      <c r="G2379">
        <v>11</v>
      </c>
      <c r="H2379">
        <v>0</v>
      </c>
      <c r="I2379">
        <v>0</v>
      </c>
    </row>
    <row r="2380" spans="1:9">
      <c r="A2380" t="s">
        <v>2398</v>
      </c>
      <c r="B2380" t="s">
        <v>15</v>
      </c>
      <c r="C2380" t="str">
        <f t="shared" si="74"/>
        <v>B</v>
      </c>
      <c r="D2380" t="s">
        <v>13</v>
      </c>
      <c r="E2380" t="s">
        <v>10</v>
      </c>
      <c r="F2380" t="str">
        <f t="shared" si="75"/>
        <v>Mobile</v>
      </c>
      <c r="G2380">
        <v>11</v>
      </c>
      <c r="H2380">
        <v>0</v>
      </c>
      <c r="I2380">
        <v>0</v>
      </c>
    </row>
    <row r="2381" spans="1:9">
      <c r="A2381" t="s">
        <v>2399</v>
      </c>
      <c r="B2381" t="s">
        <v>8</v>
      </c>
      <c r="C2381" t="str">
        <f t="shared" si="74"/>
        <v>A</v>
      </c>
      <c r="D2381" t="s">
        <v>20</v>
      </c>
      <c r="E2381" t="s">
        <v>23</v>
      </c>
      <c r="F2381" t="str">
        <f t="shared" si="75"/>
        <v>Desktop</v>
      </c>
      <c r="G2381">
        <v>6</v>
      </c>
      <c r="H2381">
        <v>0</v>
      </c>
      <c r="I2381">
        <v>0</v>
      </c>
    </row>
    <row r="2382" spans="1:9">
      <c r="A2382" t="s">
        <v>2400</v>
      </c>
      <c r="B2382" t="s">
        <v>8</v>
      </c>
      <c r="C2382" t="str">
        <f t="shared" si="74"/>
        <v>A</v>
      </c>
      <c r="D2382" t="s">
        <v>20</v>
      </c>
      <c r="E2382" t="s">
        <v>10</v>
      </c>
      <c r="F2382" t="str">
        <f t="shared" si="75"/>
        <v>Mobile</v>
      </c>
      <c r="G2382">
        <v>5</v>
      </c>
      <c r="H2382">
        <v>0</v>
      </c>
      <c r="I2382">
        <v>0</v>
      </c>
    </row>
    <row r="2383" spans="1:9">
      <c r="A2383" t="s">
        <v>2401</v>
      </c>
      <c r="B2383" t="s">
        <v>8</v>
      </c>
      <c r="C2383" t="str">
        <f t="shared" si="74"/>
        <v>A</v>
      </c>
      <c r="D2383" t="s">
        <v>13</v>
      </c>
      <c r="E2383" t="s">
        <v>23</v>
      </c>
      <c r="F2383" t="str">
        <f t="shared" si="75"/>
        <v>Desktop</v>
      </c>
      <c r="G2383">
        <v>3</v>
      </c>
      <c r="H2383">
        <v>0</v>
      </c>
      <c r="I2383">
        <v>0</v>
      </c>
    </row>
    <row r="2384" spans="1:9">
      <c r="A2384" t="s">
        <v>2402</v>
      </c>
      <c r="B2384" t="s">
        <v>8</v>
      </c>
      <c r="C2384" t="str">
        <f t="shared" si="74"/>
        <v>A</v>
      </c>
      <c r="D2384" t="s">
        <v>20</v>
      </c>
      <c r="E2384" t="s">
        <v>23</v>
      </c>
      <c r="F2384" t="str">
        <f t="shared" si="75"/>
        <v>Desktop</v>
      </c>
      <c r="G2384">
        <v>4</v>
      </c>
      <c r="H2384">
        <v>1</v>
      </c>
      <c r="I2384">
        <v>1397.28</v>
      </c>
    </row>
    <row r="2385" spans="1:9">
      <c r="A2385" t="s">
        <v>2403</v>
      </c>
      <c r="B2385" t="s">
        <v>15</v>
      </c>
      <c r="C2385" t="str">
        <f t="shared" si="74"/>
        <v>B</v>
      </c>
      <c r="D2385" t="s">
        <v>20</v>
      </c>
      <c r="E2385" t="s">
        <v>10</v>
      </c>
      <c r="F2385" t="str">
        <f t="shared" si="75"/>
        <v>Mobile</v>
      </c>
      <c r="G2385">
        <v>4</v>
      </c>
      <c r="H2385">
        <v>0</v>
      </c>
      <c r="I2385">
        <v>0</v>
      </c>
    </row>
    <row r="2386" spans="1:9">
      <c r="A2386" t="s">
        <v>2404</v>
      </c>
      <c r="B2386" t="s">
        <v>8</v>
      </c>
      <c r="C2386" t="str">
        <f t="shared" si="74"/>
        <v>A</v>
      </c>
      <c r="D2386" t="s">
        <v>20</v>
      </c>
      <c r="E2386" t="s">
        <v>10</v>
      </c>
      <c r="F2386" t="str">
        <f t="shared" si="75"/>
        <v>Mobile</v>
      </c>
      <c r="G2386">
        <v>4</v>
      </c>
      <c r="H2386">
        <v>0</v>
      </c>
      <c r="I2386">
        <v>0</v>
      </c>
    </row>
    <row r="2387" spans="1:9">
      <c r="A2387" t="s">
        <v>2405</v>
      </c>
      <c r="B2387" t="s">
        <v>8</v>
      </c>
      <c r="C2387" t="str">
        <f t="shared" si="74"/>
        <v>A</v>
      </c>
      <c r="D2387" t="s">
        <v>20</v>
      </c>
      <c r="E2387" t="s">
        <v>10</v>
      </c>
      <c r="F2387" t="str">
        <f t="shared" si="75"/>
        <v>Mobile</v>
      </c>
      <c r="G2387">
        <v>4</v>
      </c>
      <c r="H2387">
        <v>0</v>
      </c>
      <c r="I2387">
        <v>0</v>
      </c>
    </row>
    <row r="2388" spans="1:9">
      <c r="A2388" t="s">
        <v>2406</v>
      </c>
      <c r="B2388" t="s">
        <v>8</v>
      </c>
      <c r="C2388" t="str">
        <f t="shared" si="74"/>
        <v>A</v>
      </c>
      <c r="D2388" t="s">
        <v>20</v>
      </c>
      <c r="E2388" t="s">
        <v>16</v>
      </c>
      <c r="F2388" t="str">
        <f t="shared" si="75"/>
        <v>Mobile</v>
      </c>
      <c r="G2388">
        <v>7</v>
      </c>
      <c r="H2388">
        <v>0</v>
      </c>
      <c r="I2388">
        <v>0</v>
      </c>
    </row>
    <row r="2389" spans="1:9">
      <c r="A2389" t="s">
        <v>2407</v>
      </c>
      <c r="B2389" t="s">
        <v>15</v>
      </c>
      <c r="C2389" t="str">
        <f t="shared" si="74"/>
        <v>B</v>
      </c>
      <c r="D2389" t="s">
        <v>20</v>
      </c>
      <c r="E2389" t="s">
        <v>23</v>
      </c>
      <c r="F2389" t="str">
        <f t="shared" si="75"/>
        <v>Desktop</v>
      </c>
      <c r="G2389">
        <v>10</v>
      </c>
      <c r="H2389">
        <v>0</v>
      </c>
      <c r="I2389">
        <v>0</v>
      </c>
    </row>
    <row r="2390" spans="1:9">
      <c r="A2390" t="s">
        <v>2408</v>
      </c>
      <c r="B2390" t="s">
        <v>15</v>
      </c>
      <c r="C2390" t="str">
        <f t="shared" si="74"/>
        <v>B</v>
      </c>
      <c r="D2390" t="s">
        <v>9</v>
      </c>
      <c r="E2390" t="s">
        <v>10</v>
      </c>
      <c r="F2390" t="str">
        <f t="shared" si="75"/>
        <v>Mobile</v>
      </c>
      <c r="G2390">
        <v>8</v>
      </c>
      <c r="H2390">
        <v>0</v>
      </c>
      <c r="I2390">
        <v>0</v>
      </c>
    </row>
    <row r="2391" spans="1:9">
      <c r="A2391" t="s">
        <v>2409</v>
      </c>
      <c r="B2391" t="s">
        <v>8</v>
      </c>
      <c r="C2391" t="str">
        <f t="shared" si="74"/>
        <v>A</v>
      </c>
      <c r="D2391" t="s">
        <v>20</v>
      </c>
      <c r="E2391" t="s">
        <v>10</v>
      </c>
      <c r="F2391" t="str">
        <f t="shared" si="75"/>
        <v>Mobile</v>
      </c>
      <c r="G2391">
        <v>1</v>
      </c>
      <c r="H2391">
        <v>0</v>
      </c>
      <c r="I2391">
        <v>0</v>
      </c>
    </row>
    <row r="2392" spans="1:9">
      <c r="A2392" t="s">
        <v>2410</v>
      </c>
      <c r="B2392" t="s">
        <v>8</v>
      </c>
      <c r="C2392" t="str">
        <f t="shared" si="74"/>
        <v>A</v>
      </c>
      <c r="D2392" t="s">
        <v>13</v>
      </c>
      <c r="E2392" t="s">
        <v>23</v>
      </c>
      <c r="F2392" t="str">
        <f t="shared" si="75"/>
        <v>Desktop</v>
      </c>
      <c r="G2392">
        <v>6</v>
      </c>
      <c r="H2392">
        <v>0</v>
      </c>
      <c r="I2392">
        <v>0</v>
      </c>
    </row>
    <row r="2393" spans="1:9">
      <c r="A2393" t="s">
        <v>2411</v>
      </c>
      <c r="B2393" t="s">
        <v>8</v>
      </c>
      <c r="C2393" t="str">
        <f t="shared" si="74"/>
        <v>A</v>
      </c>
      <c r="D2393" t="s">
        <v>20</v>
      </c>
      <c r="E2393" t="s">
        <v>23</v>
      </c>
      <c r="F2393" t="str">
        <f t="shared" si="75"/>
        <v>Desktop</v>
      </c>
      <c r="G2393">
        <v>6</v>
      </c>
      <c r="H2393">
        <v>0</v>
      </c>
      <c r="I2393">
        <v>0</v>
      </c>
    </row>
    <row r="2394" spans="1:9">
      <c r="A2394" t="s">
        <v>2412</v>
      </c>
      <c r="B2394" t="s">
        <v>8</v>
      </c>
      <c r="C2394" t="str">
        <f t="shared" si="74"/>
        <v>A</v>
      </c>
      <c r="D2394" t="s">
        <v>20</v>
      </c>
      <c r="E2394" t="s">
        <v>10</v>
      </c>
      <c r="F2394" t="str">
        <f t="shared" si="75"/>
        <v>Mobile</v>
      </c>
      <c r="G2394">
        <v>8</v>
      </c>
      <c r="H2394">
        <v>0</v>
      </c>
      <c r="I2394">
        <v>0</v>
      </c>
    </row>
    <row r="2395" spans="1:9">
      <c r="A2395" t="s">
        <v>2413</v>
      </c>
      <c r="B2395" t="s">
        <v>15</v>
      </c>
      <c r="C2395" t="str">
        <f t="shared" si="74"/>
        <v>B</v>
      </c>
      <c r="D2395" t="s">
        <v>18</v>
      </c>
      <c r="E2395" t="s">
        <v>10</v>
      </c>
      <c r="F2395" t="str">
        <f t="shared" si="75"/>
        <v>Mobile</v>
      </c>
      <c r="G2395">
        <v>11</v>
      </c>
      <c r="H2395">
        <v>0</v>
      </c>
      <c r="I2395">
        <v>0</v>
      </c>
    </row>
    <row r="2396" spans="1:9">
      <c r="A2396" t="s">
        <v>2414</v>
      </c>
      <c r="B2396" t="s">
        <v>15</v>
      </c>
      <c r="C2396" t="str">
        <f t="shared" si="74"/>
        <v>B</v>
      </c>
      <c r="D2396" t="s">
        <v>20</v>
      </c>
      <c r="E2396" t="s">
        <v>10</v>
      </c>
      <c r="F2396" t="str">
        <f t="shared" si="75"/>
        <v>Mobile</v>
      </c>
      <c r="G2396">
        <v>6</v>
      </c>
      <c r="H2396">
        <v>0</v>
      </c>
      <c r="I2396">
        <v>0</v>
      </c>
    </row>
    <row r="2397" spans="1:9">
      <c r="A2397" t="s">
        <v>2415</v>
      </c>
      <c r="B2397" t="s">
        <v>8</v>
      </c>
      <c r="C2397" t="str">
        <f t="shared" si="74"/>
        <v>A</v>
      </c>
      <c r="D2397" t="s">
        <v>18</v>
      </c>
      <c r="E2397" t="s">
        <v>23</v>
      </c>
      <c r="F2397" t="str">
        <f t="shared" si="75"/>
        <v>Desktop</v>
      </c>
      <c r="G2397">
        <v>7</v>
      </c>
      <c r="H2397">
        <v>0</v>
      </c>
      <c r="I2397">
        <v>0</v>
      </c>
    </row>
    <row r="2398" spans="1:9">
      <c r="A2398" t="s">
        <v>2416</v>
      </c>
      <c r="B2398" t="s">
        <v>8</v>
      </c>
      <c r="C2398" t="str">
        <f t="shared" si="74"/>
        <v>A</v>
      </c>
      <c r="D2398" t="s">
        <v>20</v>
      </c>
      <c r="E2398" t="s">
        <v>83</v>
      </c>
      <c r="F2398" t="str">
        <f t="shared" si="75"/>
        <v>Tablet</v>
      </c>
      <c r="G2398">
        <v>6</v>
      </c>
      <c r="H2398">
        <v>0</v>
      </c>
      <c r="I2398">
        <v>0</v>
      </c>
    </row>
    <row r="2399" spans="1:9">
      <c r="A2399" t="s">
        <v>2417</v>
      </c>
      <c r="B2399" t="s">
        <v>29</v>
      </c>
      <c r="C2399" t="str">
        <f t="shared" si="74"/>
        <v>B</v>
      </c>
      <c r="D2399" t="s">
        <v>13</v>
      </c>
      <c r="E2399" t="s">
        <v>10</v>
      </c>
      <c r="F2399" t="str">
        <f t="shared" si="75"/>
        <v>Mobile</v>
      </c>
      <c r="G2399">
        <v>3</v>
      </c>
      <c r="H2399">
        <v>0</v>
      </c>
      <c r="I2399">
        <v>0</v>
      </c>
    </row>
    <row r="2400" spans="1:9">
      <c r="A2400" t="s">
        <v>2418</v>
      </c>
      <c r="B2400" t="s">
        <v>8</v>
      </c>
      <c r="C2400" t="str">
        <f t="shared" si="74"/>
        <v>A</v>
      </c>
      <c r="D2400" t="s">
        <v>13</v>
      </c>
      <c r="E2400" t="s">
        <v>23</v>
      </c>
      <c r="F2400" t="str">
        <f t="shared" si="75"/>
        <v>Desktop</v>
      </c>
      <c r="G2400">
        <v>3</v>
      </c>
      <c r="H2400">
        <v>0</v>
      </c>
      <c r="I2400">
        <v>0</v>
      </c>
    </row>
    <row r="2401" spans="1:9">
      <c r="A2401" t="s">
        <v>2419</v>
      </c>
      <c r="B2401" t="s">
        <v>15</v>
      </c>
      <c r="C2401" t="str">
        <f t="shared" si="74"/>
        <v>B</v>
      </c>
      <c r="D2401" t="s">
        <v>9</v>
      </c>
      <c r="E2401" t="s">
        <v>10</v>
      </c>
      <c r="F2401" t="str">
        <f t="shared" si="75"/>
        <v>Mobile</v>
      </c>
      <c r="G2401">
        <v>11</v>
      </c>
      <c r="H2401">
        <v>0</v>
      </c>
      <c r="I2401">
        <v>0</v>
      </c>
    </row>
    <row r="2402" spans="1:9">
      <c r="A2402" t="s">
        <v>2420</v>
      </c>
      <c r="B2402" t="s">
        <v>8</v>
      </c>
      <c r="C2402" t="str">
        <f t="shared" si="74"/>
        <v>A</v>
      </c>
      <c r="D2402" t="s">
        <v>13</v>
      </c>
      <c r="E2402" t="s">
        <v>10</v>
      </c>
      <c r="F2402" t="str">
        <f t="shared" si="75"/>
        <v>Mobile</v>
      </c>
      <c r="G2402">
        <v>4</v>
      </c>
      <c r="H2402">
        <v>0</v>
      </c>
      <c r="I2402">
        <v>0</v>
      </c>
    </row>
    <row r="2403" spans="1:9">
      <c r="A2403" t="s">
        <v>2421</v>
      </c>
      <c r="B2403" t="s">
        <v>15</v>
      </c>
      <c r="C2403" t="str">
        <f t="shared" si="74"/>
        <v>B</v>
      </c>
      <c r="D2403" t="s">
        <v>13</v>
      </c>
      <c r="E2403" t="s">
        <v>10</v>
      </c>
      <c r="F2403" t="str">
        <f t="shared" si="75"/>
        <v>Mobile</v>
      </c>
      <c r="G2403">
        <v>4</v>
      </c>
      <c r="H2403">
        <v>0</v>
      </c>
      <c r="I2403">
        <v>0</v>
      </c>
    </row>
    <row r="2404" spans="1:9">
      <c r="A2404" t="s">
        <v>2422</v>
      </c>
      <c r="B2404" t="s">
        <v>8</v>
      </c>
      <c r="C2404" t="str">
        <f t="shared" si="74"/>
        <v>A</v>
      </c>
      <c r="D2404" t="s">
        <v>20</v>
      </c>
      <c r="E2404" t="s">
        <v>16</v>
      </c>
      <c r="F2404" t="str">
        <f t="shared" si="75"/>
        <v>Mobile</v>
      </c>
      <c r="G2404">
        <v>5</v>
      </c>
      <c r="H2404">
        <v>0</v>
      </c>
      <c r="I2404">
        <v>0</v>
      </c>
    </row>
    <row r="2405" spans="1:9">
      <c r="A2405" t="s">
        <v>2423</v>
      </c>
      <c r="B2405" t="s">
        <v>15</v>
      </c>
      <c r="C2405" t="str">
        <f t="shared" si="74"/>
        <v>B</v>
      </c>
      <c r="D2405" t="s">
        <v>20</v>
      </c>
      <c r="E2405" t="s">
        <v>10</v>
      </c>
      <c r="F2405" t="str">
        <f t="shared" si="75"/>
        <v>Mobile</v>
      </c>
      <c r="G2405">
        <v>5</v>
      </c>
      <c r="H2405">
        <v>0</v>
      </c>
      <c r="I2405">
        <v>0</v>
      </c>
    </row>
    <row r="2406" spans="1:9">
      <c r="A2406" t="s">
        <v>2424</v>
      </c>
      <c r="B2406" t="s">
        <v>29</v>
      </c>
      <c r="C2406" t="str">
        <f t="shared" si="74"/>
        <v>B</v>
      </c>
      <c r="D2406" t="s">
        <v>9</v>
      </c>
      <c r="E2406" t="s">
        <v>23</v>
      </c>
      <c r="F2406" t="str">
        <f t="shared" si="75"/>
        <v>Desktop</v>
      </c>
      <c r="G2406">
        <v>7</v>
      </c>
      <c r="H2406">
        <v>0</v>
      </c>
      <c r="I2406">
        <v>0</v>
      </c>
    </row>
    <row r="2407" spans="1:9">
      <c r="A2407" t="s">
        <v>2425</v>
      </c>
      <c r="B2407" t="s">
        <v>8</v>
      </c>
      <c r="C2407" t="str">
        <f t="shared" si="74"/>
        <v>A</v>
      </c>
      <c r="D2407" t="s">
        <v>20</v>
      </c>
      <c r="E2407" t="s">
        <v>10</v>
      </c>
      <c r="F2407" t="str">
        <f t="shared" si="75"/>
        <v>Mobile</v>
      </c>
      <c r="G2407">
        <v>11</v>
      </c>
      <c r="H2407">
        <v>0</v>
      </c>
      <c r="I2407">
        <v>0</v>
      </c>
    </row>
    <row r="2408" spans="1:9">
      <c r="A2408" t="s">
        <v>2426</v>
      </c>
      <c r="B2408" t="s">
        <v>8</v>
      </c>
      <c r="C2408" t="str">
        <f t="shared" si="74"/>
        <v>A</v>
      </c>
      <c r="D2408" t="s">
        <v>20</v>
      </c>
      <c r="E2408" t="s">
        <v>10</v>
      </c>
      <c r="F2408" t="str">
        <f t="shared" si="75"/>
        <v>Mobile</v>
      </c>
      <c r="G2408">
        <v>5</v>
      </c>
      <c r="H2408">
        <v>0</v>
      </c>
      <c r="I2408">
        <v>0</v>
      </c>
    </row>
    <row r="2409" spans="1:9">
      <c r="A2409" t="s">
        <v>2427</v>
      </c>
      <c r="B2409" t="s">
        <v>8</v>
      </c>
      <c r="C2409" t="str">
        <f t="shared" si="74"/>
        <v>A</v>
      </c>
      <c r="D2409" t="s">
        <v>13</v>
      </c>
      <c r="E2409" t="s">
        <v>10</v>
      </c>
      <c r="F2409" t="str">
        <f t="shared" si="75"/>
        <v>Mobile</v>
      </c>
      <c r="G2409">
        <v>5</v>
      </c>
      <c r="H2409">
        <v>0</v>
      </c>
      <c r="I2409">
        <v>0</v>
      </c>
    </row>
    <row r="2410" spans="1:9">
      <c r="A2410" t="s">
        <v>2428</v>
      </c>
      <c r="B2410" t="s">
        <v>8</v>
      </c>
      <c r="C2410" t="str">
        <f t="shared" si="74"/>
        <v>A</v>
      </c>
      <c r="D2410" t="s">
        <v>20</v>
      </c>
      <c r="E2410" t="s">
        <v>23</v>
      </c>
      <c r="F2410" t="str">
        <f t="shared" si="75"/>
        <v>Desktop</v>
      </c>
      <c r="G2410">
        <v>3</v>
      </c>
      <c r="H2410">
        <v>0</v>
      </c>
      <c r="I2410">
        <v>0</v>
      </c>
    </row>
    <row r="2411" spans="1:9">
      <c r="A2411" t="s">
        <v>2429</v>
      </c>
      <c r="B2411" t="s">
        <v>8</v>
      </c>
      <c r="C2411" t="str">
        <f t="shared" si="74"/>
        <v>A</v>
      </c>
      <c r="D2411" t="s">
        <v>18</v>
      </c>
      <c r="E2411" t="s">
        <v>10</v>
      </c>
      <c r="F2411" t="str">
        <f t="shared" si="75"/>
        <v>Mobile</v>
      </c>
      <c r="G2411">
        <v>4</v>
      </c>
      <c r="H2411">
        <v>0</v>
      </c>
      <c r="I2411">
        <v>0</v>
      </c>
    </row>
    <row r="2412" spans="1:9">
      <c r="A2412" t="s">
        <v>2430</v>
      </c>
      <c r="B2412" t="s">
        <v>8</v>
      </c>
      <c r="C2412" t="str">
        <f t="shared" si="74"/>
        <v>A</v>
      </c>
      <c r="D2412" t="s">
        <v>13</v>
      </c>
      <c r="E2412" t="s">
        <v>23</v>
      </c>
      <c r="F2412" t="str">
        <f t="shared" si="75"/>
        <v>Desktop</v>
      </c>
      <c r="G2412">
        <v>4</v>
      </c>
      <c r="H2412">
        <v>0</v>
      </c>
      <c r="I2412">
        <v>0</v>
      </c>
    </row>
    <row r="2413" spans="1:9">
      <c r="A2413" t="s">
        <v>2431</v>
      </c>
      <c r="B2413" t="s">
        <v>15</v>
      </c>
      <c r="C2413" t="str">
        <f t="shared" si="74"/>
        <v>B</v>
      </c>
      <c r="D2413" t="s">
        <v>13</v>
      </c>
      <c r="E2413" t="s">
        <v>10</v>
      </c>
      <c r="F2413" t="str">
        <f t="shared" si="75"/>
        <v>Mobile</v>
      </c>
      <c r="G2413">
        <v>4</v>
      </c>
      <c r="H2413">
        <v>0</v>
      </c>
      <c r="I2413">
        <v>0</v>
      </c>
    </row>
    <row r="2414" spans="1:9">
      <c r="A2414" t="s">
        <v>2432</v>
      </c>
      <c r="B2414" t="s">
        <v>8</v>
      </c>
      <c r="C2414" t="str">
        <f t="shared" si="74"/>
        <v>A</v>
      </c>
      <c r="D2414" t="s">
        <v>9</v>
      </c>
      <c r="E2414" t="s">
        <v>10</v>
      </c>
      <c r="F2414" t="str">
        <f t="shared" si="75"/>
        <v>Mobile</v>
      </c>
      <c r="G2414">
        <v>6</v>
      </c>
      <c r="H2414">
        <v>0</v>
      </c>
      <c r="I2414">
        <v>0</v>
      </c>
    </row>
    <row r="2415" spans="1:9">
      <c r="A2415" t="s">
        <v>2433</v>
      </c>
      <c r="B2415" t="s">
        <v>8</v>
      </c>
      <c r="C2415" t="str">
        <f t="shared" si="74"/>
        <v>A</v>
      </c>
      <c r="D2415" t="s">
        <v>20</v>
      </c>
      <c r="E2415" t="s">
        <v>10</v>
      </c>
      <c r="F2415" t="str">
        <f t="shared" si="75"/>
        <v>Mobile</v>
      </c>
      <c r="G2415">
        <v>5</v>
      </c>
      <c r="H2415">
        <v>0</v>
      </c>
      <c r="I2415">
        <v>0</v>
      </c>
    </row>
    <row r="2416" spans="1:9">
      <c r="A2416" t="s">
        <v>2434</v>
      </c>
      <c r="B2416" t="s">
        <v>15</v>
      </c>
      <c r="C2416" t="str">
        <f t="shared" si="74"/>
        <v>B</v>
      </c>
      <c r="D2416" t="s">
        <v>20</v>
      </c>
      <c r="E2416" t="s">
        <v>10</v>
      </c>
      <c r="F2416" t="str">
        <f t="shared" si="75"/>
        <v>Mobile</v>
      </c>
      <c r="G2416">
        <v>6</v>
      </c>
      <c r="H2416">
        <v>0</v>
      </c>
      <c r="I2416">
        <v>0</v>
      </c>
    </row>
    <row r="2417" spans="1:9">
      <c r="A2417" t="s">
        <v>2435</v>
      </c>
      <c r="B2417" t="s">
        <v>8</v>
      </c>
      <c r="C2417" t="str">
        <f t="shared" si="74"/>
        <v>A</v>
      </c>
      <c r="D2417" t="s">
        <v>13</v>
      </c>
      <c r="E2417" t="s">
        <v>10</v>
      </c>
      <c r="F2417" t="str">
        <f t="shared" si="75"/>
        <v>Mobile</v>
      </c>
      <c r="G2417">
        <v>7</v>
      </c>
      <c r="H2417">
        <v>1</v>
      </c>
      <c r="I2417">
        <v>3126.65</v>
      </c>
    </row>
    <row r="2418" spans="1:9">
      <c r="A2418" t="s">
        <v>2436</v>
      </c>
      <c r="B2418" t="s">
        <v>12</v>
      </c>
      <c r="C2418" t="str">
        <f t="shared" si="74"/>
        <v>A</v>
      </c>
      <c r="D2418" t="s">
        <v>20</v>
      </c>
      <c r="E2418" t="s">
        <v>10</v>
      </c>
      <c r="F2418" t="str">
        <f t="shared" si="75"/>
        <v>Mobile</v>
      </c>
      <c r="G2418">
        <v>9</v>
      </c>
      <c r="H2418">
        <v>0</v>
      </c>
      <c r="I2418">
        <v>0</v>
      </c>
    </row>
    <row r="2419" spans="1:9">
      <c r="A2419" t="s">
        <v>2437</v>
      </c>
      <c r="B2419" t="s">
        <v>8</v>
      </c>
      <c r="C2419" t="str">
        <f t="shared" si="74"/>
        <v>A</v>
      </c>
      <c r="D2419" t="s">
        <v>13</v>
      </c>
      <c r="E2419" t="s">
        <v>23</v>
      </c>
      <c r="F2419" t="str">
        <f t="shared" si="75"/>
        <v>Desktop</v>
      </c>
      <c r="G2419">
        <v>9</v>
      </c>
      <c r="H2419">
        <v>0</v>
      </c>
      <c r="I2419">
        <v>0</v>
      </c>
    </row>
    <row r="2420" spans="1:9">
      <c r="A2420" t="s">
        <v>2438</v>
      </c>
      <c r="B2420" t="s">
        <v>15</v>
      </c>
      <c r="C2420" t="str">
        <f t="shared" si="74"/>
        <v>B</v>
      </c>
      <c r="D2420" t="s">
        <v>9</v>
      </c>
      <c r="E2420" t="s">
        <v>23</v>
      </c>
      <c r="F2420" t="str">
        <f t="shared" si="75"/>
        <v>Desktop</v>
      </c>
      <c r="G2420">
        <v>4</v>
      </c>
      <c r="H2420">
        <v>0</v>
      </c>
      <c r="I2420">
        <v>0</v>
      </c>
    </row>
    <row r="2421" spans="1:9">
      <c r="A2421" t="s">
        <v>2439</v>
      </c>
      <c r="B2421" t="s">
        <v>15</v>
      </c>
      <c r="C2421" t="str">
        <f t="shared" si="74"/>
        <v>B</v>
      </c>
      <c r="D2421" t="s">
        <v>13</v>
      </c>
      <c r="E2421" t="s">
        <v>10</v>
      </c>
      <c r="F2421" t="str">
        <f t="shared" si="75"/>
        <v>Mobile</v>
      </c>
      <c r="G2421">
        <v>12</v>
      </c>
      <c r="H2421">
        <v>0</v>
      </c>
      <c r="I2421">
        <v>0</v>
      </c>
    </row>
    <row r="2422" spans="1:9">
      <c r="A2422" t="s">
        <v>2440</v>
      </c>
      <c r="B2422" t="s">
        <v>15</v>
      </c>
      <c r="C2422" t="str">
        <f t="shared" si="74"/>
        <v>B</v>
      </c>
      <c r="D2422" t="s">
        <v>20</v>
      </c>
      <c r="E2422" t="s">
        <v>10</v>
      </c>
      <c r="F2422" t="str">
        <f t="shared" si="75"/>
        <v>Mobile</v>
      </c>
      <c r="G2422">
        <v>5</v>
      </c>
      <c r="H2422">
        <v>1</v>
      </c>
      <c r="I2422">
        <v>1398.21</v>
      </c>
    </row>
    <row r="2423" spans="1:9">
      <c r="A2423" t="s">
        <v>2441</v>
      </c>
      <c r="B2423" t="s">
        <v>29</v>
      </c>
      <c r="C2423" t="str">
        <f t="shared" si="74"/>
        <v>B</v>
      </c>
      <c r="D2423" t="s">
        <v>18</v>
      </c>
      <c r="E2423" t="s">
        <v>10</v>
      </c>
      <c r="F2423" t="str">
        <f t="shared" si="75"/>
        <v>Mobile</v>
      </c>
      <c r="G2423">
        <v>4</v>
      </c>
      <c r="H2423">
        <v>0</v>
      </c>
      <c r="I2423">
        <v>0</v>
      </c>
    </row>
    <row r="2424" spans="1:9">
      <c r="A2424" t="s">
        <v>2442</v>
      </c>
      <c r="B2424" t="s">
        <v>8</v>
      </c>
      <c r="C2424" t="str">
        <f t="shared" si="74"/>
        <v>A</v>
      </c>
      <c r="D2424" t="s">
        <v>13</v>
      </c>
      <c r="E2424" t="s">
        <v>10</v>
      </c>
      <c r="F2424" t="str">
        <f t="shared" si="75"/>
        <v>Mobile</v>
      </c>
      <c r="G2424">
        <v>5</v>
      </c>
      <c r="H2424">
        <v>0</v>
      </c>
      <c r="I2424">
        <v>0</v>
      </c>
    </row>
    <row r="2425" spans="1:9">
      <c r="A2425" t="s">
        <v>2443</v>
      </c>
      <c r="B2425" t="s">
        <v>29</v>
      </c>
      <c r="C2425" t="str">
        <f t="shared" si="74"/>
        <v>B</v>
      </c>
      <c r="D2425" t="s">
        <v>13</v>
      </c>
      <c r="E2425" t="s">
        <v>10</v>
      </c>
      <c r="F2425" t="str">
        <f t="shared" si="75"/>
        <v>Mobile</v>
      </c>
      <c r="G2425">
        <v>5</v>
      </c>
      <c r="H2425">
        <v>0</v>
      </c>
      <c r="I2425">
        <v>0</v>
      </c>
    </row>
    <row r="2426" spans="1:9">
      <c r="A2426" t="s">
        <v>2444</v>
      </c>
      <c r="B2426" t="s">
        <v>8</v>
      </c>
      <c r="C2426" t="str">
        <f t="shared" si="74"/>
        <v>A</v>
      </c>
      <c r="D2426" t="s">
        <v>20</v>
      </c>
      <c r="E2426" t="s">
        <v>16</v>
      </c>
      <c r="F2426" t="str">
        <f t="shared" si="75"/>
        <v>Mobile</v>
      </c>
      <c r="G2426">
        <v>5</v>
      </c>
      <c r="H2426">
        <v>0</v>
      </c>
      <c r="I2426">
        <v>0</v>
      </c>
    </row>
    <row r="2427" spans="1:9">
      <c r="A2427" t="s">
        <v>2445</v>
      </c>
      <c r="B2427" t="s">
        <v>8</v>
      </c>
      <c r="C2427" t="str">
        <f t="shared" si="74"/>
        <v>A</v>
      </c>
      <c r="D2427" t="s">
        <v>9</v>
      </c>
      <c r="E2427" t="s">
        <v>10</v>
      </c>
      <c r="F2427" t="str">
        <f t="shared" si="75"/>
        <v>Mobile</v>
      </c>
      <c r="G2427">
        <v>7</v>
      </c>
      <c r="H2427">
        <v>0</v>
      </c>
      <c r="I2427">
        <v>0</v>
      </c>
    </row>
    <row r="2428" spans="1:9">
      <c r="A2428" t="s">
        <v>2446</v>
      </c>
      <c r="B2428" t="s">
        <v>8</v>
      </c>
      <c r="C2428" t="str">
        <f t="shared" si="74"/>
        <v>A</v>
      </c>
      <c r="D2428" t="s">
        <v>13</v>
      </c>
      <c r="E2428" t="s">
        <v>10</v>
      </c>
      <c r="F2428" t="str">
        <f t="shared" si="75"/>
        <v>Mobile</v>
      </c>
      <c r="G2428">
        <v>6</v>
      </c>
      <c r="H2428">
        <v>0</v>
      </c>
      <c r="I2428">
        <v>0</v>
      </c>
    </row>
    <row r="2429" spans="1:9">
      <c r="A2429" t="s">
        <v>2447</v>
      </c>
      <c r="B2429" t="s">
        <v>15</v>
      </c>
      <c r="C2429" t="str">
        <f t="shared" si="74"/>
        <v>B</v>
      </c>
      <c r="D2429" t="s">
        <v>13</v>
      </c>
      <c r="E2429" t="s">
        <v>10</v>
      </c>
      <c r="F2429" t="str">
        <f t="shared" si="75"/>
        <v>Mobile</v>
      </c>
      <c r="G2429">
        <v>5</v>
      </c>
      <c r="H2429">
        <v>0</v>
      </c>
      <c r="I2429">
        <v>0</v>
      </c>
    </row>
    <row r="2430" spans="1:9">
      <c r="A2430" t="s">
        <v>2448</v>
      </c>
      <c r="B2430" t="s">
        <v>8</v>
      </c>
      <c r="C2430" t="str">
        <f t="shared" si="74"/>
        <v>A</v>
      </c>
      <c r="D2430" t="s">
        <v>9</v>
      </c>
      <c r="E2430" t="s">
        <v>10</v>
      </c>
      <c r="F2430" t="str">
        <f t="shared" si="75"/>
        <v>Mobile</v>
      </c>
      <c r="G2430">
        <v>7</v>
      </c>
      <c r="H2430">
        <v>1</v>
      </c>
      <c r="I2430">
        <v>5628.93</v>
      </c>
    </row>
    <row r="2431" spans="1:9">
      <c r="A2431" t="s">
        <v>2449</v>
      </c>
      <c r="B2431" t="s">
        <v>15</v>
      </c>
      <c r="C2431" t="str">
        <f t="shared" si="74"/>
        <v>B</v>
      </c>
      <c r="D2431" t="s">
        <v>20</v>
      </c>
      <c r="E2431" t="s">
        <v>23</v>
      </c>
      <c r="F2431" t="str">
        <f t="shared" si="75"/>
        <v>Desktop</v>
      </c>
      <c r="G2431">
        <v>4</v>
      </c>
      <c r="H2431">
        <v>0</v>
      </c>
      <c r="I2431">
        <v>0</v>
      </c>
    </row>
    <row r="2432" spans="1:9">
      <c r="A2432" t="s">
        <v>2450</v>
      </c>
      <c r="B2432" t="s">
        <v>15</v>
      </c>
      <c r="C2432" t="str">
        <f t="shared" si="74"/>
        <v>B</v>
      </c>
      <c r="D2432" t="s">
        <v>13</v>
      </c>
      <c r="E2432" t="s">
        <v>10</v>
      </c>
      <c r="F2432" t="str">
        <f t="shared" si="75"/>
        <v>Mobile</v>
      </c>
      <c r="G2432">
        <v>3</v>
      </c>
      <c r="H2432">
        <v>0</v>
      </c>
      <c r="I2432">
        <v>0</v>
      </c>
    </row>
    <row r="2433" spans="1:9">
      <c r="A2433" t="s">
        <v>2451</v>
      </c>
      <c r="B2433" t="s">
        <v>15</v>
      </c>
      <c r="C2433" t="str">
        <f t="shared" si="74"/>
        <v>B</v>
      </c>
      <c r="D2433" t="s">
        <v>9</v>
      </c>
      <c r="E2433" t="s">
        <v>10</v>
      </c>
      <c r="F2433" t="str">
        <f t="shared" si="75"/>
        <v>Mobile</v>
      </c>
      <c r="G2433">
        <v>8</v>
      </c>
      <c r="H2433">
        <v>1</v>
      </c>
      <c r="I2433">
        <v>6016.61</v>
      </c>
    </row>
    <row r="2434" spans="1:9">
      <c r="A2434" t="s">
        <v>2452</v>
      </c>
      <c r="B2434" t="s">
        <v>15</v>
      </c>
      <c r="C2434" t="str">
        <f t="shared" ref="C2434:C2490" si="76">IF(OR(B2434="control", B2434="A"), "A", "B")</f>
        <v>B</v>
      </c>
      <c r="D2434" t="s">
        <v>20</v>
      </c>
      <c r="E2434" t="s">
        <v>23</v>
      </c>
      <c r="F2434" t="str">
        <f t="shared" ref="F2434:F2490" si="77">PROPER(E2434)</f>
        <v>Desktop</v>
      </c>
      <c r="G2434">
        <v>5</v>
      </c>
      <c r="H2434">
        <v>0</v>
      </c>
      <c r="I2434">
        <v>0</v>
      </c>
    </row>
    <row r="2435" spans="1:9">
      <c r="A2435" t="s">
        <v>2453</v>
      </c>
      <c r="B2435" t="s">
        <v>8</v>
      </c>
      <c r="C2435" t="str">
        <f t="shared" si="76"/>
        <v>A</v>
      </c>
      <c r="D2435" t="s">
        <v>9</v>
      </c>
      <c r="E2435" t="s">
        <v>10</v>
      </c>
      <c r="F2435" t="str">
        <f t="shared" si="77"/>
        <v>Mobile</v>
      </c>
      <c r="G2435">
        <v>14</v>
      </c>
      <c r="H2435">
        <v>0</v>
      </c>
      <c r="I2435">
        <v>0</v>
      </c>
    </row>
    <row r="2436" spans="1:9">
      <c r="A2436" t="s">
        <v>2454</v>
      </c>
      <c r="B2436" t="s">
        <v>8</v>
      </c>
      <c r="C2436" t="str">
        <f t="shared" si="76"/>
        <v>A</v>
      </c>
      <c r="D2436" t="s">
        <v>18</v>
      </c>
      <c r="E2436" t="s">
        <v>23</v>
      </c>
      <c r="F2436" t="str">
        <f t="shared" si="77"/>
        <v>Desktop</v>
      </c>
      <c r="G2436">
        <v>5</v>
      </c>
      <c r="H2436">
        <v>0</v>
      </c>
      <c r="I2436">
        <v>0</v>
      </c>
    </row>
    <row r="2437" spans="1:9">
      <c r="A2437" t="s">
        <v>2455</v>
      </c>
      <c r="B2437" t="s">
        <v>8</v>
      </c>
      <c r="C2437" t="str">
        <f t="shared" si="76"/>
        <v>A</v>
      </c>
      <c r="D2437" t="s">
        <v>13</v>
      </c>
      <c r="E2437" t="s">
        <v>23</v>
      </c>
      <c r="F2437" t="str">
        <f t="shared" si="77"/>
        <v>Desktop</v>
      </c>
      <c r="G2437">
        <v>8</v>
      </c>
      <c r="H2437">
        <v>0</v>
      </c>
      <c r="I2437">
        <v>0</v>
      </c>
    </row>
    <row r="2438" spans="1:9">
      <c r="A2438" t="s">
        <v>2456</v>
      </c>
      <c r="B2438" t="s">
        <v>8</v>
      </c>
      <c r="C2438" t="str">
        <f t="shared" si="76"/>
        <v>A</v>
      </c>
      <c r="D2438" t="s">
        <v>13</v>
      </c>
      <c r="E2438" t="s">
        <v>10</v>
      </c>
      <c r="F2438" t="str">
        <f t="shared" si="77"/>
        <v>Mobile</v>
      </c>
      <c r="G2438">
        <v>5</v>
      </c>
      <c r="H2438">
        <v>0</v>
      </c>
      <c r="I2438">
        <v>0</v>
      </c>
    </row>
    <row r="2439" spans="1:9">
      <c r="A2439" t="s">
        <v>2457</v>
      </c>
      <c r="B2439" t="s">
        <v>8</v>
      </c>
      <c r="C2439" t="str">
        <f t="shared" si="76"/>
        <v>A</v>
      </c>
      <c r="D2439" t="s">
        <v>9</v>
      </c>
      <c r="E2439" t="s">
        <v>23</v>
      </c>
      <c r="F2439" t="str">
        <f t="shared" si="77"/>
        <v>Desktop</v>
      </c>
      <c r="G2439">
        <v>3</v>
      </c>
      <c r="H2439">
        <v>0</v>
      </c>
      <c r="I2439">
        <v>0</v>
      </c>
    </row>
    <row r="2440" spans="1:9">
      <c r="A2440" t="s">
        <v>2458</v>
      </c>
      <c r="B2440" t="s">
        <v>8</v>
      </c>
      <c r="C2440" t="str">
        <f t="shared" si="76"/>
        <v>A</v>
      </c>
      <c r="D2440" t="s">
        <v>9</v>
      </c>
      <c r="E2440" t="s">
        <v>10</v>
      </c>
      <c r="F2440" t="str">
        <f t="shared" si="77"/>
        <v>Mobile</v>
      </c>
      <c r="G2440">
        <v>10</v>
      </c>
      <c r="H2440">
        <v>0</v>
      </c>
      <c r="I2440">
        <v>0</v>
      </c>
    </row>
    <row r="2441" spans="1:9">
      <c r="A2441" t="s">
        <v>2459</v>
      </c>
      <c r="B2441" t="s">
        <v>8</v>
      </c>
      <c r="C2441" t="str">
        <f t="shared" si="76"/>
        <v>A</v>
      </c>
      <c r="D2441" t="s">
        <v>20</v>
      </c>
      <c r="E2441" t="s">
        <v>23</v>
      </c>
      <c r="F2441" t="str">
        <f t="shared" si="77"/>
        <v>Desktop</v>
      </c>
      <c r="G2441">
        <v>2</v>
      </c>
      <c r="H2441">
        <v>0</v>
      </c>
      <c r="I2441">
        <v>0</v>
      </c>
    </row>
    <row r="2442" spans="1:9">
      <c r="A2442" t="s">
        <v>2460</v>
      </c>
      <c r="B2442" t="s">
        <v>29</v>
      </c>
      <c r="C2442" t="str">
        <f t="shared" si="76"/>
        <v>B</v>
      </c>
      <c r="D2442" t="s">
        <v>20</v>
      </c>
      <c r="E2442" t="s">
        <v>10</v>
      </c>
      <c r="F2442" t="str">
        <f t="shared" si="77"/>
        <v>Mobile</v>
      </c>
      <c r="G2442">
        <v>3</v>
      </c>
      <c r="H2442">
        <v>0</v>
      </c>
      <c r="I2442">
        <v>0</v>
      </c>
    </row>
    <row r="2443" spans="1:9">
      <c r="A2443" t="s">
        <v>2461</v>
      </c>
      <c r="B2443" t="s">
        <v>15</v>
      </c>
      <c r="C2443" t="str">
        <f t="shared" si="76"/>
        <v>B</v>
      </c>
      <c r="D2443" t="s">
        <v>20</v>
      </c>
      <c r="E2443" t="s">
        <v>10</v>
      </c>
      <c r="F2443" t="str">
        <f t="shared" si="77"/>
        <v>Mobile</v>
      </c>
      <c r="G2443">
        <v>8</v>
      </c>
      <c r="H2443">
        <v>0</v>
      </c>
      <c r="I2443">
        <v>0</v>
      </c>
    </row>
    <row r="2444" spans="1:9">
      <c r="A2444" t="s">
        <v>2462</v>
      </c>
      <c r="B2444" t="s">
        <v>8</v>
      </c>
      <c r="C2444" t="str">
        <f t="shared" si="76"/>
        <v>A</v>
      </c>
      <c r="D2444" t="s">
        <v>13</v>
      </c>
      <c r="E2444" t="s">
        <v>23</v>
      </c>
      <c r="F2444" t="str">
        <f t="shared" si="77"/>
        <v>Desktop</v>
      </c>
      <c r="G2444">
        <v>6</v>
      </c>
      <c r="H2444">
        <v>0</v>
      </c>
      <c r="I2444">
        <v>0</v>
      </c>
    </row>
    <row r="2445" spans="1:9">
      <c r="A2445" t="s">
        <v>2463</v>
      </c>
      <c r="B2445" t="s">
        <v>15</v>
      </c>
      <c r="C2445" t="str">
        <f t="shared" si="76"/>
        <v>B</v>
      </c>
      <c r="D2445" t="s">
        <v>13</v>
      </c>
      <c r="E2445" t="s">
        <v>16</v>
      </c>
      <c r="F2445" t="str">
        <f t="shared" si="77"/>
        <v>Mobile</v>
      </c>
      <c r="G2445">
        <v>7</v>
      </c>
      <c r="H2445">
        <v>0</v>
      </c>
      <c r="I2445">
        <v>0</v>
      </c>
    </row>
    <row r="2446" spans="1:9">
      <c r="A2446" t="s">
        <v>2464</v>
      </c>
      <c r="B2446" t="s">
        <v>8</v>
      </c>
      <c r="C2446" t="str">
        <f t="shared" si="76"/>
        <v>A</v>
      </c>
      <c r="D2446" t="s">
        <v>13</v>
      </c>
      <c r="E2446" t="s">
        <v>83</v>
      </c>
      <c r="F2446" t="str">
        <f t="shared" si="77"/>
        <v>Tablet</v>
      </c>
      <c r="G2446">
        <v>4</v>
      </c>
      <c r="H2446">
        <v>0</v>
      </c>
      <c r="I2446">
        <v>0</v>
      </c>
    </row>
    <row r="2447" spans="1:9">
      <c r="A2447" t="s">
        <v>2465</v>
      </c>
      <c r="B2447" t="s">
        <v>8</v>
      </c>
      <c r="C2447" t="str">
        <f t="shared" si="76"/>
        <v>A</v>
      </c>
      <c r="D2447" t="s">
        <v>20</v>
      </c>
      <c r="E2447" t="s">
        <v>23</v>
      </c>
      <c r="F2447" t="str">
        <f t="shared" si="77"/>
        <v>Desktop</v>
      </c>
      <c r="G2447">
        <v>2</v>
      </c>
      <c r="H2447">
        <v>0</v>
      </c>
      <c r="I2447">
        <v>0</v>
      </c>
    </row>
    <row r="2448" spans="1:9">
      <c r="A2448" t="s">
        <v>2466</v>
      </c>
      <c r="B2448" t="s">
        <v>15</v>
      </c>
      <c r="C2448" t="str">
        <f t="shared" si="76"/>
        <v>B</v>
      </c>
      <c r="D2448" t="s">
        <v>13</v>
      </c>
      <c r="E2448" t="s">
        <v>10</v>
      </c>
      <c r="F2448" t="str">
        <f t="shared" si="77"/>
        <v>Mobile</v>
      </c>
      <c r="G2448">
        <v>4</v>
      </c>
      <c r="H2448">
        <v>0</v>
      </c>
      <c r="I2448">
        <v>0</v>
      </c>
    </row>
    <row r="2449" spans="1:9">
      <c r="A2449" t="s">
        <v>2467</v>
      </c>
      <c r="B2449" t="s">
        <v>15</v>
      </c>
      <c r="C2449" t="str">
        <f t="shared" si="76"/>
        <v>B</v>
      </c>
      <c r="D2449" t="s">
        <v>20</v>
      </c>
      <c r="E2449" t="s">
        <v>10</v>
      </c>
      <c r="F2449" t="str">
        <f t="shared" si="77"/>
        <v>Mobile</v>
      </c>
      <c r="G2449">
        <v>1</v>
      </c>
      <c r="H2449">
        <v>0</v>
      </c>
      <c r="I2449">
        <v>0</v>
      </c>
    </row>
    <row r="2450" spans="1:9">
      <c r="A2450" t="s">
        <v>2468</v>
      </c>
      <c r="B2450" t="s">
        <v>8</v>
      </c>
      <c r="C2450" t="str">
        <f t="shared" si="76"/>
        <v>A</v>
      </c>
      <c r="D2450" t="s">
        <v>13</v>
      </c>
      <c r="E2450" t="s">
        <v>10</v>
      </c>
      <c r="F2450" t="str">
        <f t="shared" si="77"/>
        <v>Mobile</v>
      </c>
      <c r="G2450">
        <v>7</v>
      </c>
      <c r="H2450">
        <v>0</v>
      </c>
      <c r="I2450">
        <v>0</v>
      </c>
    </row>
    <row r="2451" spans="1:9">
      <c r="A2451" t="s">
        <v>2469</v>
      </c>
      <c r="B2451" t="s">
        <v>29</v>
      </c>
      <c r="C2451" t="str">
        <f t="shared" si="76"/>
        <v>B</v>
      </c>
      <c r="D2451" t="s">
        <v>13</v>
      </c>
      <c r="E2451" t="s">
        <v>10</v>
      </c>
      <c r="F2451" t="str">
        <f t="shared" si="77"/>
        <v>Mobile</v>
      </c>
      <c r="G2451">
        <v>3</v>
      </c>
      <c r="H2451">
        <v>1</v>
      </c>
      <c r="I2451">
        <v>2939.59</v>
      </c>
    </row>
    <row r="2452" spans="1:9">
      <c r="A2452" t="s">
        <v>2470</v>
      </c>
      <c r="B2452" t="s">
        <v>15</v>
      </c>
      <c r="C2452" t="str">
        <f t="shared" si="76"/>
        <v>B</v>
      </c>
      <c r="D2452" t="s">
        <v>20</v>
      </c>
      <c r="E2452" t="s">
        <v>10</v>
      </c>
      <c r="F2452" t="str">
        <f t="shared" si="77"/>
        <v>Mobile</v>
      </c>
      <c r="G2452">
        <v>7</v>
      </c>
      <c r="H2452">
        <v>1</v>
      </c>
      <c r="I2452">
        <v>1055.18</v>
      </c>
    </row>
    <row r="2453" spans="1:9">
      <c r="A2453" t="s">
        <v>2471</v>
      </c>
      <c r="B2453" t="s">
        <v>15</v>
      </c>
      <c r="C2453" t="str">
        <f t="shared" si="76"/>
        <v>B</v>
      </c>
      <c r="D2453" t="s">
        <v>20</v>
      </c>
      <c r="E2453" t="s">
        <v>33</v>
      </c>
      <c r="F2453" t="str">
        <f t="shared" si="77"/>
        <v>Desktop</v>
      </c>
      <c r="G2453">
        <v>4</v>
      </c>
      <c r="H2453">
        <v>0</v>
      </c>
      <c r="I2453">
        <v>0</v>
      </c>
    </row>
    <row r="2454" spans="1:9">
      <c r="A2454" t="s">
        <v>2472</v>
      </c>
      <c r="B2454" t="s">
        <v>15</v>
      </c>
      <c r="C2454" t="str">
        <f t="shared" si="76"/>
        <v>B</v>
      </c>
      <c r="D2454" t="s">
        <v>13</v>
      </c>
      <c r="E2454" t="s">
        <v>10</v>
      </c>
      <c r="F2454" t="str">
        <f t="shared" si="77"/>
        <v>Mobile</v>
      </c>
      <c r="G2454">
        <v>8</v>
      </c>
      <c r="H2454">
        <v>0</v>
      </c>
      <c r="I2454">
        <v>0</v>
      </c>
    </row>
    <row r="2455" spans="1:9">
      <c r="A2455" t="s">
        <v>2473</v>
      </c>
      <c r="B2455" t="s">
        <v>15</v>
      </c>
      <c r="C2455" t="str">
        <f t="shared" si="76"/>
        <v>B</v>
      </c>
      <c r="D2455" t="s">
        <v>13</v>
      </c>
      <c r="E2455" t="s">
        <v>10</v>
      </c>
      <c r="F2455" t="str">
        <f t="shared" si="77"/>
        <v>Mobile</v>
      </c>
      <c r="G2455">
        <v>3</v>
      </c>
      <c r="H2455">
        <v>0</v>
      </c>
      <c r="I2455">
        <v>0</v>
      </c>
    </row>
    <row r="2456" spans="1:9">
      <c r="A2456" t="s">
        <v>2474</v>
      </c>
      <c r="B2456" t="s">
        <v>8</v>
      </c>
      <c r="C2456" t="str">
        <f t="shared" si="76"/>
        <v>A</v>
      </c>
      <c r="D2456" t="s">
        <v>20</v>
      </c>
      <c r="E2456" t="s">
        <v>10</v>
      </c>
      <c r="F2456" t="str">
        <f t="shared" si="77"/>
        <v>Mobile</v>
      </c>
      <c r="G2456">
        <v>6</v>
      </c>
      <c r="H2456">
        <v>1</v>
      </c>
      <c r="I2456">
        <v>1739.73</v>
      </c>
    </row>
    <row r="2457" spans="1:9">
      <c r="A2457" t="s">
        <v>2475</v>
      </c>
      <c r="B2457" t="s">
        <v>8</v>
      </c>
      <c r="C2457" t="str">
        <f t="shared" si="76"/>
        <v>A</v>
      </c>
      <c r="D2457" t="s">
        <v>18</v>
      </c>
      <c r="E2457" t="s">
        <v>16</v>
      </c>
      <c r="F2457" t="str">
        <f t="shared" si="77"/>
        <v>Mobile</v>
      </c>
      <c r="G2457">
        <v>6</v>
      </c>
      <c r="H2457">
        <v>0</v>
      </c>
      <c r="I2457">
        <v>0</v>
      </c>
    </row>
    <row r="2458" spans="1:9">
      <c r="A2458" t="s">
        <v>2476</v>
      </c>
      <c r="B2458" t="s">
        <v>8</v>
      </c>
      <c r="C2458" t="str">
        <f t="shared" si="76"/>
        <v>A</v>
      </c>
      <c r="D2458" t="s">
        <v>13</v>
      </c>
      <c r="E2458" t="s">
        <v>23</v>
      </c>
      <c r="F2458" t="str">
        <f t="shared" si="77"/>
        <v>Desktop</v>
      </c>
      <c r="G2458">
        <v>6</v>
      </c>
      <c r="H2458">
        <v>0</v>
      </c>
      <c r="I2458">
        <v>0</v>
      </c>
    </row>
    <row r="2459" spans="1:9">
      <c r="A2459" t="s">
        <v>2477</v>
      </c>
      <c r="B2459" t="s">
        <v>15</v>
      </c>
      <c r="C2459" t="str">
        <f t="shared" si="76"/>
        <v>B</v>
      </c>
      <c r="D2459" t="s">
        <v>18</v>
      </c>
      <c r="E2459" t="s">
        <v>23</v>
      </c>
      <c r="F2459" t="str">
        <f t="shared" si="77"/>
        <v>Desktop</v>
      </c>
      <c r="G2459">
        <v>5</v>
      </c>
      <c r="H2459">
        <v>0</v>
      </c>
      <c r="I2459">
        <v>0</v>
      </c>
    </row>
    <row r="2460" spans="1:9">
      <c r="A2460" t="s">
        <v>2478</v>
      </c>
      <c r="B2460" t="s">
        <v>15</v>
      </c>
      <c r="C2460" t="str">
        <f t="shared" si="76"/>
        <v>B</v>
      </c>
      <c r="D2460" t="s">
        <v>13</v>
      </c>
      <c r="E2460" t="s">
        <v>10</v>
      </c>
      <c r="F2460" t="str">
        <f t="shared" si="77"/>
        <v>Mobile</v>
      </c>
      <c r="G2460">
        <v>7</v>
      </c>
      <c r="H2460">
        <v>0</v>
      </c>
      <c r="I2460">
        <v>0</v>
      </c>
    </row>
    <row r="2461" spans="1:9">
      <c r="A2461" t="s">
        <v>2479</v>
      </c>
      <c r="B2461" t="s">
        <v>8</v>
      </c>
      <c r="C2461" t="str">
        <f t="shared" si="76"/>
        <v>A</v>
      </c>
      <c r="D2461" t="s">
        <v>13</v>
      </c>
      <c r="E2461" t="s">
        <v>23</v>
      </c>
      <c r="F2461" t="str">
        <f t="shared" si="77"/>
        <v>Desktop</v>
      </c>
      <c r="G2461">
        <v>7</v>
      </c>
      <c r="H2461">
        <v>0</v>
      </c>
      <c r="I2461">
        <v>0</v>
      </c>
    </row>
    <row r="2462" spans="1:9">
      <c r="A2462" t="s">
        <v>2480</v>
      </c>
      <c r="B2462" t="s">
        <v>29</v>
      </c>
      <c r="C2462" t="str">
        <f t="shared" si="76"/>
        <v>B</v>
      </c>
      <c r="D2462" t="s">
        <v>9</v>
      </c>
      <c r="E2462" t="s">
        <v>10</v>
      </c>
      <c r="F2462" t="str">
        <f t="shared" si="77"/>
        <v>Mobile</v>
      </c>
      <c r="G2462">
        <v>4</v>
      </c>
      <c r="H2462">
        <v>0</v>
      </c>
      <c r="I2462">
        <v>0</v>
      </c>
    </row>
    <row r="2463" spans="1:9">
      <c r="A2463" t="s">
        <v>2481</v>
      </c>
      <c r="B2463" t="s">
        <v>15</v>
      </c>
      <c r="C2463" t="str">
        <f t="shared" si="76"/>
        <v>B</v>
      </c>
      <c r="D2463" t="s">
        <v>13</v>
      </c>
      <c r="E2463" t="s">
        <v>16</v>
      </c>
      <c r="F2463" t="str">
        <f t="shared" si="77"/>
        <v>Mobile</v>
      </c>
      <c r="G2463">
        <v>4</v>
      </c>
      <c r="H2463">
        <v>0</v>
      </c>
      <c r="I2463">
        <v>0</v>
      </c>
    </row>
    <row r="2464" spans="1:9">
      <c r="A2464" t="s">
        <v>2482</v>
      </c>
      <c r="B2464" t="s">
        <v>15</v>
      </c>
      <c r="C2464" t="str">
        <f t="shared" si="76"/>
        <v>B</v>
      </c>
      <c r="D2464" t="s">
        <v>13</v>
      </c>
      <c r="E2464" t="s">
        <v>10</v>
      </c>
      <c r="F2464" t="str">
        <f t="shared" si="77"/>
        <v>Mobile</v>
      </c>
      <c r="G2464">
        <v>8</v>
      </c>
      <c r="H2464">
        <v>0</v>
      </c>
      <c r="I2464">
        <v>0</v>
      </c>
    </row>
    <row r="2465" spans="1:9">
      <c r="A2465" t="s">
        <v>2483</v>
      </c>
      <c r="B2465" t="s">
        <v>15</v>
      </c>
      <c r="C2465" t="str">
        <f t="shared" si="76"/>
        <v>B</v>
      </c>
      <c r="D2465" t="s">
        <v>20</v>
      </c>
      <c r="E2465" t="s">
        <v>10</v>
      </c>
      <c r="F2465" t="str">
        <f t="shared" si="77"/>
        <v>Mobile</v>
      </c>
      <c r="G2465">
        <v>6</v>
      </c>
      <c r="H2465">
        <v>0</v>
      </c>
      <c r="I2465">
        <v>0</v>
      </c>
    </row>
    <row r="2466" spans="1:9">
      <c r="A2466" t="s">
        <v>2484</v>
      </c>
      <c r="B2466" t="s">
        <v>15</v>
      </c>
      <c r="C2466" t="str">
        <f t="shared" si="76"/>
        <v>B</v>
      </c>
      <c r="D2466" t="s">
        <v>13</v>
      </c>
      <c r="E2466" t="s">
        <v>10</v>
      </c>
      <c r="F2466" t="str">
        <f t="shared" si="77"/>
        <v>Mobile</v>
      </c>
      <c r="G2466">
        <v>6</v>
      </c>
      <c r="H2466">
        <v>0</v>
      </c>
      <c r="I2466">
        <v>0</v>
      </c>
    </row>
    <row r="2467" spans="1:9">
      <c r="A2467" t="s">
        <v>2485</v>
      </c>
      <c r="B2467" t="s">
        <v>8</v>
      </c>
      <c r="C2467" t="str">
        <f t="shared" si="76"/>
        <v>A</v>
      </c>
      <c r="D2467" t="s">
        <v>20</v>
      </c>
      <c r="E2467" t="s">
        <v>23</v>
      </c>
      <c r="F2467" t="str">
        <f t="shared" si="77"/>
        <v>Desktop</v>
      </c>
      <c r="G2467">
        <v>5</v>
      </c>
      <c r="H2467">
        <v>0</v>
      </c>
      <c r="I2467">
        <v>0</v>
      </c>
    </row>
    <row r="2468" spans="1:9">
      <c r="A2468" t="s">
        <v>2486</v>
      </c>
      <c r="B2468" t="s">
        <v>15</v>
      </c>
      <c r="C2468" t="str">
        <f t="shared" si="76"/>
        <v>B</v>
      </c>
      <c r="D2468" t="s">
        <v>20</v>
      </c>
      <c r="E2468" t="s">
        <v>10</v>
      </c>
      <c r="F2468" t="str">
        <f t="shared" si="77"/>
        <v>Mobile</v>
      </c>
      <c r="G2468">
        <v>5</v>
      </c>
      <c r="H2468">
        <v>0</v>
      </c>
      <c r="I2468">
        <v>0</v>
      </c>
    </row>
    <row r="2469" spans="1:9">
      <c r="A2469" t="s">
        <v>2487</v>
      </c>
      <c r="B2469" t="s">
        <v>8</v>
      </c>
      <c r="C2469" t="str">
        <f t="shared" si="76"/>
        <v>A</v>
      </c>
      <c r="D2469" t="s">
        <v>20</v>
      </c>
      <c r="E2469" t="s">
        <v>16</v>
      </c>
      <c r="F2469" t="str">
        <f t="shared" si="77"/>
        <v>Mobile</v>
      </c>
      <c r="G2469">
        <v>6</v>
      </c>
      <c r="H2469">
        <v>0</v>
      </c>
      <c r="I2469">
        <v>0</v>
      </c>
    </row>
    <row r="2470" spans="1:9">
      <c r="A2470" t="s">
        <v>2488</v>
      </c>
      <c r="B2470" t="s">
        <v>15</v>
      </c>
      <c r="C2470" t="str">
        <f t="shared" si="76"/>
        <v>B</v>
      </c>
      <c r="D2470" t="s">
        <v>20</v>
      </c>
      <c r="E2470" t="s">
        <v>10</v>
      </c>
      <c r="F2470" t="str">
        <f t="shared" si="77"/>
        <v>Mobile</v>
      </c>
      <c r="G2470">
        <v>7</v>
      </c>
      <c r="H2470">
        <v>1</v>
      </c>
      <c r="I2470">
        <v>1774.25</v>
      </c>
    </row>
    <row r="2471" spans="1:9">
      <c r="A2471" t="s">
        <v>2489</v>
      </c>
      <c r="B2471" t="s">
        <v>8</v>
      </c>
      <c r="C2471" t="str">
        <f t="shared" si="76"/>
        <v>A</v>
      </c>
      <c r="D2471" t="s">
        <v>18</v>
      </c>
      <c r="E2471" t="s">
        <v>10</v>
      </c>
      <c r="F2471" t="str">
        <f t="shared" si="77"/>
        <v>Mobile</v>
      </c>
      <c r="G2471">
        <v>9</v>
      </c>
      <c r="H2471">
        <v>0</v>
      </c>
      <c r="I2471">
        <v>0</v>
      </c>
    </row>
    <row r="2472" spans="1:9">
      <c r="A2472" t="s">
        <v>2490</v>
      </c>
      <c r="B2472" t="s">
        <v>15</v>
      </c>
      <c r="C2472" t="str">
        <f t="shared" si="76"/>
        <v>B</v>
      </c>
      <c r="D2472" t="s">
        <v>20</v>
      </c>
      <c r="E2472" t="s">
        <v>10</v>
      </c>
      <c r="F2472" t="str">
        <f t="shared" si="77"/>
        <v>Mobile</v>
      </c>
      <c r="G2472">
        <v>5</v>
      </c>
      <c r="H2472">
        <v>0</v>
      </c>
      <c r="I2472">
        <v>0</v>
      </c>
    </row>
    <row r="2473" spans="1:9">
      <c r="A2473" t="s">
        <v>2491</v>
      </c>
      <c r="B2473" t="s">
        <v>12</v>
      </c>
      <c r="C2473" t="str">
        <f t="shared" si="76"/>
        <v>A</v>
      </c>
      <c r="D2473" t="s">
        <v>13</v>
      </c>
      <c r="E2473" t="s">
        <v>10</v>
      </c>
      <c r="F2473" t="str">
        <f t="shared" si="77"/>
        <v>Mobile</v>
      </c>
      <c r="G2473">
        <v>3</v>
      </c>
      <c r="H2473">
        <v>0</v>
      </c>
      <c r="I2473">
        <v>0</v>
      </c>
    </row>
    <row r="2474" spans="1:9">
      <c r="A2474" t="s">
        <v>2492</v>
      </c>
      <c r="B2474" t="s">
        <v>8</v>
      </c>
      <c r="C2474" t="str">
        <f t="shared" si="76"/>
        <v>A</v>
      </c>
      <c r="D2474" t="s">
        <v>9</v>
      </c>
      <c r="E2474" t="s">
        <v>10</v>
      </c>
      <c r="F2474" t="str">
        <f t="shared" si="77"/>
        <v>Mobile</v>
      </c>
      <c r="G2474">
        <v>6</v>
      </c>
      <c r="H2474">
        <v>0</v>
      </c>
      <c r="I2474">
        <v>0</v>
      </c>
    </row>
    <row r="2475" spans="1:9">
      <c r="A2475" t="s">
        <v>2493</v>
      </c>
      <c r="B2475" t="s">
        <v>15</v>
      </c>
      <c r="C2475" t="str">
        <f t="shared" si="76"/>
        <v>B</v>
      </c>
      <c r="D2475" t="s">
        <v>13</v>
      </c>
      <c r="E2475" t="s">
        <v>10</v>
      </c>
      <c r="F2475" t="str">
        <f t="shared" si="77"/>
        <v>Mobile</v>
      </c>
      <c r="G2475">
        <v>4</v>
      </c>
      <c r="H2475">
        <v>0</v>
      </c>
      <c r="I2475">
        <v>0</v>
      </c>
    </row>
    <row r="2476" spans="1:9">
      <c r="A2476" t="s">
        <v>2494</v>
      </c>
      <c r="B2476" t="s">
        <v>29</v>
      </c>
      <c r="C2476" t="str">
        <f t="shared" si="76"/>
        <v>B</v>
      </c>
      <c r="D2476" t="s">
        <v>20</v>
      </c>
      <c r="E2476" t="s">
        <v>23</v>
      </c>
      <c r="F2476" t="str">
        <f t="shared" si="77"/>
        <v>Desktop</v>
      </c>
      <c r="G2476">
        <v>8</v>
      </c>
      <c r="H2476">
        <v>0</v>
      </c>
      <c r="I2476">
        <v>0</v>
      </c>
    </row>
    <row r="2477" spans="1:9">
      <c r="A2477" t="s">
        <v>2495</v>
      </c>
      <c r="B2477" t="s">
        <v>15</v>
      </c>
      <c r="C2477" t="str">
        <f t="shared" si="76"/>
        <v>B</v>
      </c>
      <c r="D2477" t="s">
        <v>13</v>
      </c>
      <c r="E2477" t="s">
        <v>10</v>
      </c>
      <c r="F2477" t="str">
        <f t="shared" si="77"/>
        <v>Mobile</v>
      </c>
      <c r="G2477">
        <v>7</v>
      </c>
      <c r="H2477">
        <v>0</v>
      </c>
      <c r="I2477">
        <v>0</v>
      </c>
    </row>
    <row r="2478" spans="1:9">
      <c r="A2478" t="s">
        <v>2496</v>
      </c>
      <c r="B2478" t="s">
        <v>15</v>
      </c>
      <c r="C2478" t="str">
        <f t="shared" si="76"/>
        <v>B</v>
      </c>
      <c r="D2478" t="s">
        <v>13</v>
      </c>
      <c r="E2478" t="s">
        <v>33</v>
      </c>
      <c r="F2478" t="str">
        <f t="shared" si="77"/>
        <v>Desktop</v>
      </c>
      <c r="G2478">
        <v>14</v>
      </c>
      <c r="H2478">
        <v>0</v>
      </c>
      <c r="I2478">
        <v>0</v>
      </c>
    </row>
    <row r="2479" spans="1:9">
      <c r="A2479" t="s">
        <v>2497</v>
      </c>
      <c r="B2479" t="s">
        <v>15</v>
      </c>
      <c r="C2479" t="str">
        <f t="shared" si="76"/>
        <v>B</v>
      </c>
      <c r="D2479" t="s">
        <v>13</v>
      </c>
      <c r="E2479" t="s">
        <v>23</v>
      </c>
      <c r="F2479" t="str">
        <f t="shared" si="77"/>
        <v>Desktop</v>
      </c>
      <c r="G2479">
        <v>7</v>
      </c>
      <c r="H2479">
        <v>0</v>
      </c>
      <c r="I2479">
        <v>0</v>
      </c>
    </row>
    <row r="2480" spans="1:9">
      <c r="A2480" t="s">
        <v>2498</v>
      </c>
      <c r="B2480" t="s">
        <v>8</v>
      </c>
      <c r="C2480" t="str">
        <f t="shared" si="76"/>
        <v>A</v>
      </c>
      <c r="D2480" t="s">
        <v>13</v>
      </c>
      <c r="E2480" t="s">
        <v>23</v>
      </c>
      <c r="F2480" t="str">
        <f t="shared" si="77"/>
        <v>Desktop</v>
      </c>
      <c r="G2480">
        <v>5</v>
      </c>
      <c r="H2480">
        <v>0</v>
      </c>
      <c r="I2480">
        <v>0</v>
      </c>
    </row>
    <row r="2481" spans="1:9">
      <c r="A2481" t="s">
        <v>2499</v>
      </c>
      <c r="B2481" t="s">
        <v>8</v>
      </c>
      <c r="C2481" t="str">
        <f t="shared" si="76"/>
        <v>A</v>
      </c>
      <c r="D2481" t="s">
        <v>18</v>
      </c>
      <c r="E2481" t="s">
        <v>10</v>
      </c>
      <c r="F2481" t="str">
        <f t="shared" si="77"/>
        <v>Mobile</v>
      </c>
      <c r="G2481">
        <v>4</v>
      </c>
      <c r="H2481">
        <v>0</v>
      </c>
      <c r="I2481">
        <v>0</v>
      </c>
    </row>
    <row r="2482" spans="1:9">
      <c r="A2482" t="s">
        <v>2500</v>
      </c>
      <c r="B2482" t="s">
        <v>8</v>
      </c>
      <c r="C2482" t="str">
        <f t="shared" si="76"/>
        <v>A</v>
      </c>
      <c r="D2482" t="s">
        <v>13</v>
      </c>
      <c r="E2482" t="s">
        <v>10</v>
      </c>
      <c r="F2482" t="str">
        <f t="shared" si="77"/>
        <v>Mobile</v>
      </c>
      <c r="G2482">
        <v>4</v>
      </c>
      <c r="H2482">
        <v>0</v>
      </c>
      <c r="I2482">
        <v>0</v>
      </c>
    </row>
    <row r="2483" spans="1:9">
      <c r="A2483" t="s">
        <v>2501</v>
      </c>
      <c r="B2483" t="s">
        <v>15</v>
      </c>
      <c r="C2483" t="str">
        <f t="shared" si="76"/>
        <v>B</v>
      </c>
      <c r="D2483" t="s">
        <v>20</v>
      </c>
      <c r="E2483" t="s">
        <v>10</v>
      </c>
      <c r="F2483" t="str">
        <f t="shared" si="77"/>
        <v>Mobile</v>
      </c>
      <c r="G2483">
        <v>10</v>
      </c>
      <c r="H2483">
        <v>1</v>
      </c>
      <c r="I2483">
        <v>1282.1300000000001</v>
      </c>
    </row>
    <row r="2484" spans="1:9">
      <c r="A2484" t="s">
        <v>2502</v>
      </c>
      <c r="B2484" t="s">
        <v>8</v>
      </c>
      <c r="C2484" t="str">
        <f t="shared" si="76"/>
        <v>A</v>
      </c>
      <c r="D2484" t="s">
        <v>13</v>
      </c>
      <c r="E2484" t="s">
        <v>23</v>
      </c>
      <c r="F2484" t="str">
        <f t="shared" si="77"/>
        <v>Desktop</v>
      </c>
      <c r="G2484">
        <v>6</v>
      </c>
      <c r="H2484">
        <v>1</v>
      </c>
      <c r="I2484">
        <v>2432.7800000000002</v>
      </c>
    </row>
    <row r="2485" spans="1:9">
      <c r="A2485" t="s">
        <v>2503</v>
      </c>
      <c r="B2485" t="s">
        <v>15</v>
      </c>
      <c r="C2485" t="str">
        <f t="shared" si="76"/>
        <v>B</v>
      </c>
      <c r="D2485" t="s">
        <v>20</v>
      </c>
      <c r="E2485" t="s">
        <v>16</v>
      </c>
      <c r="F2485" t="str">
        <f t="shared" si="77"/>
        <v>Mobile</v>
      </c>
      <c r="G2485">
        <v>5</v>
      </c>
      <c r="H2485">
        <v>0</v>
      </c>
      <c r="I2485">
        <v>0</v>
      </c>
    </row>
    <row r="2486" spans="1:9">
      <c r="A2486" t="s">
        <v>2504</v>
      </c>
      <c r="B2486" t="s">
        <v>15</v>
      </c>
      <c r="C2486" t="str">
        <f t="shared" si="76"/>
        <v>B</v>
      </c>
      <c r="D2486" t="s">
        <v>9</v>
      </c>
      <c r="E2486" t="s">
        <v>10</v>
      </c>
      <c r="F2486" t="str">
        <f t="shared" si="77"/>
        <v>Mobile</v>
      </c>
      <c r="G2486">
        <v>3</v>
      </c>
      <c r="H2486">
        <v>0</v>
      </c>
      <c r="I2486">
        <v>0</v>
      </c>
    </row>
    <row r="2487" spans="1:9">
      <c r="A2487" t="s">
        <v>2505</v>
      </c>
      <c r="B2487" t="s">
        <v>15</v>
      </c>
      <c r="C2487" t="str">
        <f t="shared" si="76"/>
        <v>B</v>
      </c>
      <c r="D2487" t="s">
        <v>20</v>
      </c>
      <c r="E2487" t="s">
        <v>10</v>
      </c>
      <c r="F2487" t="str">
        <f t="shared" si="77"/>
        <v>Mobile</v>
      </c>
      <c r="G2487">
        <v>4</v>
      </c>
      <c r="H2487">
        <v>0</v>
      </c>
      <c r="I2487">
        <v>0</v>
      </c>
    </row>
    <row r="2488" spans="1:9">
      <c r="A2488" t="s">
        <v>2506</v>
      </c>
      <c r="B2488" t="s">
        <v>15</v>
      </c>
      <c r="C2488" t="str">
        <f t="shared" si="76"/>
        <v>B</v>
      </c>
      <c r="D2488" t="s">
        <v>20</v>
      </c>
      <c r="E2488" t="s">
        <v>16</v>
      </c>
      <c r="F2488" t="str">
        <f t="shared" si="77"/>
        <v>Mobile</v>
      </c>
      <c r="G2488">
        <v>12</v>
      </c>
      <c r="H2488">
        <v>0</v>
      </c>
      <c r="I2488">
        <v>0</v>
      </c>
    </row>
    <row r="2489" spans="1:9">
      <c r="A2489" t="s">
        <v>2507</v>
      </c>
      <c r="B2489" t="s">
        <v>29</v>
      </c>
      <c r="C2489" t="str">
        <f t="shared" si="76"/>
        <v>B</v>
      </c>
      <c r="D2489" t="s">
        <v>9</v>
      </c>
      <c r="E2489" t="s">
        <v>10</v>
      </c>
      <c r="F2489" t="str">
        <f t="shared" si="77"/>
        <v>Mobile</v>
      </c>
      <c r="G2489">
        <v>6</v>
      </c>
      <c r="H2489">
        <v>0</v>
      </c>
      <c r="I2489">
        <v>0</v>
      </c>
    </row>
    <row r="2490" spans="1:9">
      <c r="A2490" t="s">
        <v>2508</v>
      </c>
      <c r="B2490" t="s">
        <v>8</v>
      </c>
      <c r="C2490" t="str">
        <f t="shared" si="76"/>
        <v>A</v>
      </c>
      <c r="D2490" t="s">
        <v>13</v>
      </c>
      <c r="E2490" t="s">
        <v>23</v>
      </c>
      <c r="F2490" t="str">
        <f t="shared" si="77"/>
        <v>Desktop</v>
      </c>
      <c r="G2490">
        <v>3</v>
      </c>
      <c r="H2490">
        <v>0</v>
      </c>
      <c r="I249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AB_Summary</vt:lpstr>
      <vt:lpstr>Executive_Dashboard</vt:lpstr>
      <vt:lpstr>amazon_ab_test_2500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Rehan</dc:creator>
  <cp:lastModifiedBy>abdul rehan</cp:lastModifiedBy>
  <dcterms:created xsi:type="dcterms:W3CDTF">2026-09-27T12:46:26Z</dcterms:created>
  <dcterms:modified xsi:type="dcterms:W3CDTF">2026-10-02T12:22:52Z</dcterms:modified>
</cp:coreProperties>
</file>